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" sheetId="1" state="visible" r:id="rId1"/>
    <sheet xmlns:r="http://schemas.openxmlformats.org/officeDocument/2006/relationships" name="간트차트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산출물 체크리스트" sheetId="4" state="visible" r:id="rId4"/>
  </sheets>
  <definedNames>
    <definedName name="_xlnm._FilterDatabase" localSheetId="2" hidden="1">'WBS'!$A$4:$L$106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m/d"/>
    <numFmt numFmtId="166" formatCode="yyyy-mm-dd"/>
  </numFmts>
  <fonts count="21">
    <font>
      <name val="Calibri"/>
      <family val="2"/>
      <color theme="1"/>
      <sz val="11"/>
      <scheme val="minor"/>
    </font>
    <font>
      <name val="맑은 고딕"/>
      <b val="1"/>
      <color rgb="001F3A63"/>
      <sz val="13"/>
    </font>
    <font>
      <name val="맑은 고딕"/>
      <color rgb="005A6473"/>
      <sz val="9"/>
    </font>
    <font>
      <name val="맑은 고딕"/>
      <b val="1"/>
      <color rgb="00FFFFFF"/>
      <sz val="9.5"/>
    </font>
    <font>
      <name val="맑은 고딕"/>
      <b val="1"/>
      <color rgb="00000000"/>
      <sz val="9"/>
    </font>
    <font>
      <name val="맑은 고딕"/>
      <b val="1"/>
      <color rgb="00FFFFFF"/>
      <sz val="10"/>
    </font>
    <font>
      <name val="맑은 고딕"/>
      <b val="1"/>
      <color rgb="00C00000"/>
      <sz val="9"/>
    </font>
    <font>
      <name val="맑은 고딕"/>
      <color rgb="00000000"/>
      <sz val="9"/>
    </font>
    <font>
      <name val="맑은 고딕"/>
      <color rgb="00C00000"/>
      <sz val="9"/>
    </font>
    <font>
      <name val="맑은 고딕"/>
      <b val="1"/>
      <color rgb="001F3A63"/>
      <sz val="11"/>
    </font>
    <font>
      <name val="맑은 고딕"/>
      <b val="1"/>
      <sz val="9.5"/>
    </font>
    <font>
      <name val="맑은 고딕"/>
      <sz val="9.5"/>
    </font>
    <font>
      <name val="맑은 고딕"/>
      <b val="1"/>
      <color rgb="00FFFFFF"/>
      <sz val="7.5"/>
    </font>
    <font>
      <name val="맑은 고딕"/>
      <b val="1"/>
      <color rgb="00FFC7CE"/>
      <sz val="7.5"/>
    </font>
    <font>
      <name val="맑은 고딕"/>
      <b val="1"/>
      <color rgb="00FFFFFF"/>
      <sz val="9"/>
    </font>
    <font>
      <name val="맑은 고딕"/>
      <b val="1"/>
      <color rgb="00C00000"/>
      <sz val="8.5"/>
    </font>
    <font>
      <name val="맑은 고딕"/>
      <b val="1"/>
      <color rgb="00000000"/>
      <sz val="8.5"/>
    </font>
    <font>
      <name val="맑은 고딕"/>
      <color rgb="00000000"/>
      <sz val="8.5"/>
    </font>
    <font>
      <name val="맑은 고딕"/>
      <color rgb="00C00000"/>
      <sz val="8.5"/>
    </font>
    <font>
      <name val="맑은 고딕"/>
      <b val="1"/>
      <color rgb="001F3A63"/>
      <sz val="10"/>
    </font>
    <font>
      <name val="맑은 고딕"/>
      <sz val="9"/>
    </font>
  </fonts>
  <fills count="14">
    <fill>
      <patternFill/>
    </fill>
    <fill>
      <patternFill patternType="gray125"/>
    </fill>
    <fill>
      <patternFill patternType="solid">
        <fgColor rgb="001F3A63"/>
      </patternFill>
    </fill>
    <fill>
      <patternFill patternType="solid">
        <fgColor rgb="00EDF1F7"/>
      </patternFill>
    </fill>
    <fill>
      <patternFill patternType="solid">
        <fgColor rgb="00D9D9D9"/>
      </patternFill>
    </fill>
    <fill>
      <patternFill patternType="solid">
        <fgColor rgb="00FFD966"/>
      </patternFill>
    </fill>
    <fill>
      <patternFill patternType="solid">
        <fgColor rgb="00A9D08E"/>
      </patternFill>
    </fill>
    <fill>
      <patternFill patternType="solid">
        <fgColor rgb="00C9A0DC"/>
      </patternFill>
    </fill>
    <fill>
      <patternFill patternType="solid">
        <fgColor rgb="009DC3E6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6DCE4"/>
      </patternFill>
    </fill>
    <fill>
      <patternFill patternType="solid">
        <fgColor rgb="00FFC7CE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0" fontId="8" fillId="0" borderId="0" pivotButton="0" quotePrefix="0" xfId="0"/>
    <xf numFmtId="0" fontId="14" fillId="2" borderId="1" applyAlignment="1" pivotButton="0" quotePrefix="0" xfId="0">
      <alignment horizontal="center" vertical="center"/>
    </xf>
    <xf numFmtId="165" fontId="12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center" vertical="center"/>
    </xf>
    <xf numFmtId="0" fontId="0" fillId="0" borderId="1" pivotButton="0" quotePrefix="0" xfId="0"/>
    <xf numFmtId="166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17" fillId="6" borderId="1" applyAlignment="1" pivotButton="0" quotePrefix="0" xfId="0">
      <alignment horizontal="center" vertical="center"/>
    </xf>
    <xf numFmtId="166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19" fillId="0" borderId="0" pivotButton="0" quotePrefix="0" xfId="0"/>
    <xf numFmtId="0" fontId="0" fillId="9" borderId="1" pivotButton="0" quotePrefix="0" xfId="0"/>
    <xf numFmtId="0" fontId="20" fillId="0" borderId="0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166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/>
    </xf>
    <xf numFmtId="166" fontId="20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5" fontId="12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166" fontId="16" fillId="0" borderId="1" applyAlignment="1" pivotButton="0" quotePrefix="0" xfId="0">
      <alignment horizontal="center" vertical="center"/>
    </xf>
    <xf numFmtId="166" fontId="17" fillId="0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6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6">
    <dxf>
      <fill>
        <patternFill patternType="solid">
          <fgColor rgb="00F5F5F5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6DCE4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30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30" customWidth="1" min="3" max="3"/>
    <col width="11" customWidth="1" min="4" max="4"/>
    <col width="9" customWidth="1" min="5" max="5"/>
    <col width="9" customWidth="1" min="6" max="6"/>
    <col width="9" customWidth="1" min="7" max="7"/>
    <col width="11" customWidth="1" min="8" max="8"/>
  </cols>
  <sheetData>
    <row r="2">
      <c r="A2" s="1" t="inlineStr">
        <is>
          <t>OpsLoop 프로젝트 진행 대시보드 (WBS v2.0)</t>
        </is>
      </c>
    </row>
    <row r="3">
      <c r="A3" s="2" t="inlineStr">
        <is>
          <t>2026.09.02(수) ~ 10.16(금)      마지막 갱신 기준: WBS 시트 실시간 연동</t>
        </is>
      </c>
    </row>
    <row r="5">
      <c r="A5" s="3" t="inlineStr">
        <is>
          <t>영역별 진행 현황</t>
        </is>
      </c>
    </row>
    <row r="6" ht="22" customHeight="1">
      <c r="A6" s="4" t="inlineStr">
        <is>
          <t>영역</t>
        </is>
      </c>
      <c r="B6" s="4" t="inlineStr">
        <is>
          <t>구분</t>
        </is>
      </c>
      <c r="C6" s="4" t="inlineStr">
        <is>
          <t>담당 범위</t>
        </is>
      </c>
      <c r="D6" s="4" t="inlineStr">
        <is>
          <t>전체 작업</t>
        </is>
      </c>
      <c r="E6" s="4" t="inlineStr">
        <is>
          <t>완료</t>
        </is>
      </c>
      <c r="F6" s="4" t="inlineStr">
        <is>
          <t>진행중</t>
        </is>
      </c>
      <c r="G6" s="4" t="inlineStr">
        <is>
          <t>미착수</t>
        </is>
      </c>
      <c r="H6" s="4" t="inlineStr">
        <is>
          <t>완료율</t>
        </is>
      </c>
    </row>
    <row r="7" ht="19" customHeight="1">
      <c r="A7" s="5" t="inlineStr">
        <is>
          <t>A</t>
        </is>
      </c>
      <c r="B7" s="6" t="inlineStr">
        <is>
          <t>인프라 · 배포</t>
        </is>
      </c>
      <c r="C7" s="6" t="inlineStr">
        <is>
          <t>프로비저닝 · 망 분리 · 방화벽 · 이중화</t>
        </is>
      </c>
      <c r="D7" s="7">
        <f>COUNTIFS(WBS!$D$5:$D$106,$A7,WBS!$L$5:$L$106,"&gt;0")</f>
        <v/>
      </c>
      <c r="E7" s="7">
        <f>COUNTIFS(WBS!$D$5:$D$106,$A7,WBS!$F$5:$F$106,"완료")</f>
        <v/>
      </c>
      <c r="F7" s="7">
        <f>COUNTIFS(WBS!$D$5:$D$106,$A7,WBS!$F$5:$F$106,"진행중")</f>
        <v/>
      </c>
      <c r="G7" s="7">
        <f>COUNTIFS(WBS!$D$5:$D$106,$A7,WBS!$F$5:$F$106,"미착수")</f>
        <v/>
      </c>
      <c r="H7" s="66">
        <f>IF($D7=0,"",$E7/$D7)</f>
        <v/>
      </c>
    </row>
    <row r="8" ht="19" customHeight="1">
      <c r="A8" s="9" t="inlineStr">
        <is>
          <t>B</t>
        </is>
      </c>
      <c r="B8" s="6" t="inlineStr">
        <is>
          <t>수집 · 탐지</t>
        </is>
      </c>
      <c r="C8" s="6" t="inlineStr">
        <is>
          <t>로그 파이프라인 · 디코이 · 탐지 · 압축</t>
        </is>
      </c>
      <c r="D8" s="7">
        <f>COUNTIFS(WBS!$D$5:$D$106,$A8,WBS!$L$5:$L$106,"&gt;0")</f>
        <v/>
      </c>
      <c r="E8" s="7">
        <f>COUNTIFS(WBS!$D$5:$D$106,$A8,WBS!$F$5:$F$106,"완료")</f>
        <v/>
      </c>
      <c r="F8" s="7">
        <f>COUNTIFS(WBS!$D$5:$D$106,$A8,WBS!$F$5:$F$106,"진행중")</f>
        <v/>
      </c>
      <c r="G8" s="7">
        <f>COUNTIFS(WBS!$D$5:$D$106,$A8,WBS!$F$5:$F$106,"미착수")</f>
        <v/>
      </c>
      <c r="H8" s="66">
        <f>IF($D8=0,"",$E8/$D8)</f>
        <v/>
      </c>
    </row>
    <row r="9" ht="19" customHeight="1">
      <c r="A9" s="10" t="inlineStr">
        <is>
          <t>C</t>
        </is>
      </c>
      <c r="B9" s="6" t="inlineStr">
        <is>
          <t>관제 콘솔</t>
        </is>
      </c>
      <c r="C9" s="6" t="inlineStr">
        <is>
          <t>화면 · 판정 · 대시보드 · 실시간</t>
        </is>
      </c>
      <c r="D9" s="7">
        <f>COUNTIFS(WBS!$D$5:$D$106,$A9,WBS!$L$5:$L$106,"&gt;0")</f>
        <v/>
      </c>
      <c r="E9" s="7">
        <f>COUNTIFS(WBS!$D$5:$D$106,$A9,WBS!$F$5:$F$106,"완료")</f>
        <v/>
      </c>
      <c r="F9" s="7">
        <f>COUNTIFS(WBS!$D$5:$D$106,$A9,WBS!$F$5:$F$106,"진행중")</f>
        <v/>
      </c>
      <c r="G9" s="7">
        <f>COUNTIFS(WBS!$D$5:$D$106,$A9,WBS!$F$5:$F$106,"미착수")</f>
        <v/>
      </c>
      <c r="H9" s="66">
        <f>IF($D9=0,"",$E9/$D9)</f>
        <v/>
      </c>
    </row>
    <row r="10" ht="19" customHeight="1">
      <c r="A10" s="11" t="inlineStr">
        <is>
          <t>D</t>
        </is>
      </c>
      <c r="B10" s="6" t="inlineStr">
        <is>
          <t>분석 · 운영</t>
        </is>
      </c>
      <c r="C10" s="6" t="inlineStr">
        <is>
          <t>정상 트래픽 · 폐루프 · 리플레이 · 지표</t>
        </is>
      </c>
      <c r="D10" s="7">
        <f>COUNTIFS(WBS!$D$5:$D$106,$A10,WBS!$L$5:$L$106,"&gt;0")</f>
        <v/>
      </c>
      <c r="E10" s="7">
        <f>COUNTIFS(WBS!$D$5:$D$106,$A10,WBS!$F$5:$F$106,"완료")</f>
        <v/>
      </c>
      <c r="F10" s="7">
        <f>COUNTIFS(WBS!$D$5:$D$106,$A10,WBS!$F$5:$F$106,"진행중")</f>
        <v/>
      </c>
      <c r="G10" s="7">
        <f>COUNTIFS(WBS!$D$5:$D$106,$A10,WBS!$F$5:$F$106,"미착수")</f>
        <v/>
      </c>
      <c r="H10" s="66">
        <f>IF($D10=0,"",$E10/$D10)</f>
        <v/>
      </c>
    </row>
    <row r="11" ht="19" customHeight="1">
      <c r="A11" s="12" t="inlineStr">
        <is>
          <t>-</t>
        </is>
      </c>
      <c r="B11" s="6" t="inlineStr">
        <is>
          <t>공통 · 문서</t>
        </is>
      </c>
      <c r="C11" s="6" t="inlineStr">
        <is>
          <t>기획 · 테스트 · 산출물 문서화</t>
        </is>
      </c>
      <c r="D11" s="7">
        <f>COUNTIFS(WBS!$D$5:$D$106,$A11,WBS!$L$5:$L$106,"&gt;0")</f>
        <v/>
      </c>
      <c r="E11" s="7">
        <f>COUNTIFS(WBS!$D$5:$D$106,$A11,WBS!$F$5:$F$106,"완료")</f>
        <v/>
      </c>
      <c r="F11" s="7">
        <f>COUNTIFS(WBS!$D$5:$D$106,$A11,WBS!$F$5:$F$106,"진행중")</f>
        <v/>
      </c>
      <c r="G11" s="7">
        <f>COUNTIFS(WBS!$D$5:$D$106,$A11,WBS!$F$5:$F$106,"미착수")</f>
        <v/>
      </c>
      <c r="H11" s="66">
        <f>IF($D11=0,"",$E11/$D11)</f>
        <v/>
      </c>
    </row>
    <row r="12">
      <c r="A12" s="47" t="inlineStr">
        <is>
          <t>전체</t>
        </is>
      </c>
      <c r="B12" s="47" t="n"/>
      <c r="C12" s="47" t="n"/>
      <c r="D12" s="47">
        <f>COUNTIFS(WBS!$L$5:$L$106,"&gt;0")</f>
        <v/>
      </c>
      <c r="E12" s="47">
        <f>COUNTIF(WBS!$F$5:$F$106,"완료")</f>
        <v/>
      </c>
      <c r="F12" s="47">
        <f>COUNTIF(WBS!$F$5:$F$106,"진행중")</f>
        <v/>
      </c>
      <c r="G12" s="47">
        <f>COUNTIF(WBS!$F$5:$F$106,"미착수")</f>
        <v/>
      </c>
      <c r="H12" s="67">
        <f>IF($D12=0,"",$E12/$D12)</f>
        <v/>
      </c>
    </row>
    <row r="14">
      <c r="A14" s="3" t="inlineStr">
        <is>
          <t>임계경로(★) 작업 현황</t>
        </is>
      </c>
    </row>
    <row r="15" ht="22" customHeight="1">
      <c r="A15" s="4" t="inlineStr">
        <is>
          <t>상태</t>
        </is>
      </c>
      <c r="B15" s="4" t="inlineStr">
        <is>
          <t>건수</t>
        </is>
      </c>
      <c r="C15" s="4" t="inlineStr"/>
      <c r="D15" s="4" t="inlineStr"/>
      <c r="E15" s="4" t="inlineStr"/>
      <c r="F15" s="4" t="inlineStr"/>
      <c r="G15" s="4" t="inlineStr"/>
      <c r="H15" s="4" t="inlineStr"/>
    </row>
    <row r="16">
      <c r="A16" s="7" t="inlineStr">
        <is>
          <t>미착수</t>
        </is>
      </c>
      <c r="B16" s="7">
        <f>COUNTIFS(WBS!$K$5:$K$106,"★",WBS!$F$5:$F$106,"미착수")</f>
        <v/>
      </c>
    </row>
    <row r="17">
      <c r="A17" s="7" t="inlineStr">
        <is>
          <t>진행중</t>
        </is>
      </c>
      <c r="B17" s="7">
        <f>COUNTIFS(WBS!$K$5:$K$106,"★",WBS!$F$5:$F$106,"진행중")</f>
        <v/>
      </c>
    </row>
    <row r="18">
      <c r="A18" s="7" t="inlineStr">
        <is>
          <t>완료</t>
        </is>
      </c>
      <c r="B18" s="7">
        <f>COUNTIFS(WBS!$K$5:$K$106,"★",WBS!$F$5:$F$106,"완료")</f>
        <v/>
      </c>
    </row>
    <row r="19">
      <c r="A19" s="7" t="inlineStr">
        <is>
          <t>지연</t>
        </is>
      </c>
      <c r="B19" s="7">
        <f>COUNTIFS(WBS!$K$5:$K$106,"★",WBS!$F$5:$F$106,"지연")</f>
        <v/>
      </c>
    </row>
    <row r="21">
      <c r="A21" s="3" t="inlineStr">
        <is>
          <t>단계별 진행 현황</t>
        </is>
      </c>
    </row>
    <row r="22" ht="22" customHeight="1">
      <c r="A22" s="4" t="inlineStr">
        <is>
          <t>단계</t>
        </is>
      </c>
      <c r="B22" s="4" t="inlineStr">
        <is>
          <t>전체</t>
        </is>
      </c>
      <c r="C22" s="4" t="inlineStr">
        <is>
          <t>완료</t>
        </is>
      </c>
      <c r="D22" s="4" t="inlineStr">
        <is>
          <t>완료율</t>
        </is>
      </c>
      <c r="E22" s="4" t="inlineStr"/>
      <c r="F22" s="4" t="inlineStr"/>
      <c r="G22" s="4" t="inlineStr"/>
      <c r="H22" s="4" t="inlineStr"/>
    </row>
    <row r="23">
      <c r="A23" s="7" t="inlineStr">
        <is>
          <t>기획</t>
        </is>
      </c>
      <c r="B23" s="7">
        <f>COUNTIFS(WBS!$B$5:$B$106,"기획",WBS!$L$5:$L$106,"&gt;0")</f>
        <v/>
      </c>
      <c r="C23" s="7">
        <f>COUNTIFS(WBS!$B$5:$B$106,"기획",WBS!$F$5:$F$106,"완료")</f>
        <v/>
      </c>
      <c r="D23" s="66">
        <f>IF($B23=0,"",$C23/$B23)</f>
        <v/>
      </c>
    </row>
    <row r="24">
      <c r="A24" s="7" t="inlineStr">
        <is>
          <t>설계</t>
        </is>
      </c>
      <c r="B24" s="7">
        <f>COUNTIFS(WBS!$B$5:$B$106,"설계",WBS!$L$5:$L$106,"&gt;0")</f>
        <v/>
      </c>
      <c r="C24" s="7">
        <f>COUNTIFS(WBS!$B$5:$B$106,"설계",WBS!$F$5:$F$106,"완료")</f>
        <v/>
      </c>
      <c r="D24" s="66">
        <f>IF($B24=0,"",$C24/$B24)</f>
        <v/>
      </c>
    </row>
    <row r="25">
      <c r="A25" s="7" t="inlineStr">
        <is>
          <t>개발</t>
        </is>
      </c>
      <c r="B25" s="7">
        <f>COUNTIFS(WBS!$B$5:$B$106,"개발",WBS!$L$5:$L$106,"&gt;0")</f>
        <v/>
      </c>
      <c r="C25" s="7">
        <f>COUNTIFS(WBS!$B$5:$B$106,"개발",WBS!$F$5:$F$106,"완료")</f>
        <v/>
      </c>
      <c r="D25" s="66">
        <f>IF($B25=0,"",$C25/$B25)</f>
        <v/>
      </c>
    </row>
    <row r="26">
      <c r="A26" s="7" t="inlineStr">
        <is>
          <t>테스트</t>
        </is>
      </c>
      <c r="B26" s="7">
        <f>COUNTIFS(WBS!$B$5:$B$106,"테스트",WBS!$L$5:$L$106,"&gt;0")</f>
        <v/>
      </c>
      <c r="C26" s="7">
        <f>COUNTIFS(WBS!$B$5:$B$106,"테스트",WBS!$F$5:$F$106,"완료")</f>
        <v/>
      </c>
      <c r="D26" s="66">
        <f>IF($B26=0,"",$C26/$B26)</f>
        <v/>
      </c>
    </row>
    <row r="27">
      <c r="A27" s="7" t="inlineStr">
        <is>
          <t>문서화</t>
        </is>
      </c>
      <c r="B27" s="7">
        <f>COUNTIFS(WBS!$B$5:$B$106,"문서화",WBS!$L$5:$L$106,"&gt;0")</f>
        <v/>
      </c>
      <c r="C27" s="7">
        <f>COUNTIFS(WBS!$B$5:$B$106,"문서화",WBS!$F$5:$F$106,"완료")</f>
        <v/>
      </c>
      <c r="D27" s="66">
        <f>IF($B27=0,"",$C27/$B27)</f>
        <v/>
      </c>
    </row>
    <row r="28">
      <c r="A28" s="7" t="inlineStr">
        <is>
          <t>발표</t>
        </is>
      </c>
      <c r="B28" s="7">
        <f>COUNTIFS(WBS!$B$5:$B$106,"발표",WBS!$L$5:$L$106,"&gt;0")</f>
        <v/>
      </c>
      <c r="C28" s="7">
        <f>COUNTIFS(WBS!$B$5:$B$106,"발표",WBS!$F$5:$F$106,"완료")</f>
        <v/>
      </c>
      <c r="D28" s="66">
        <f>IF($B28=0,"",$C28/$B28)</f>
        <v/>
      </c>
    </row>
    <row r="30">
      <c r="A30" s="15" t="inlineStr">
        <is>
          <t>상태 값은 WBS 시트에서만 변경하세요. 이 시트의 모든 수치는 자동 집계됩니다.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105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6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3" customWidth="1" min="36" max="36"/>
    <col width="3" customWidth="1" min="37" max="37"/>
    <col width="3" customWidth="1" min="38" max="38"/>
    <col width="3" customWidth="1" min="39" max="39"/>
    <col width="3" customWidth="1" min="40" max="40"/>
    <col width="3" customWidth="1" min="41" max="41"/>
    <col width="3" customWidth="1" min="42" max="42"/>
    <col width="3" customWidth="1" min="43" max="43"/>
    <col width="3" customWidth="1" min="44" max="44"/>
    <col width="3" customWidth="1" min="45" max="45"/>
    <col width="3" customWidth="1" min="46" max="46"/>
    <col width="3" customWidth="1" min="47" max="47"/>
    <col width="3" customWidth="1" min="48" max="48"/>
    <col width="11" customWidth="1" min="50" max="50"/>
    <col width="11" customWidth="1" min="51" max="51"/>
    <col width="11" customWidth="1" min="52" max="52"/>
  </cols>
  <sheetData>
    <row r="1">
      <c r="A1" s="1" t="inlineStr">
        <is>
          <t>간트차트 (2026.09.02 ~ 10.16) — OpsLoop</t>
        </is>
      </c>
    </row>
    <row r="2">
      <c r="A2" s="15" t="inlineStr">
        <is>
          <t>※ WBS 시트의 작업명 · 담당 · 날짜 · 상태와 실시간 연동됩니다. 이 시트는 직접 수정하지 마세요.</t>
        </is>
      </c>
    </row>
    <row r="4" ht="16" customHeight="1">
      <c r="A4" s="16" t="inlineStr">
        <is>
          <t>WBS ID</t>
        </is>
      </c>
      <c r="B4" s="16" t="inlineStr">
        <is>
          <t>작업명</t>
        </is>
      </c>
      <c r="C4" s="16" t="inlineStr">
        <is>
          <t>영역</t>
        </is>
      </c>
      <c r="D4" s="68" t="n">
        <v>46267</v>
      </c>
      <c r="E4" s="68" t="n">
        <v>46268</v>
      </c>
      <c r="F4" s="68" t="n">
        <v>46269</v>
      </c>
      <c r="G4" s="69" t="n">
        <v>46270</v>
      </c>
      <c r="H4" s="69" t="n">
        <v>46271</v>
      </c>
      <c r="I4" s="68" t="n">
        <v>46272</v>
      </c>
      <c r="J4" s="68" t="n">
        <v>46273</v>
      </c>
      <c r="K4" s="68" t="n">
        <v>46274</v>
      </c>
      <c r="L4" s="68" t="n">
        <v>46275</v>
      </c>
      <c r="M4" s="68" t="n">
        <v>46276</v>
      </c>
      <c r="N4" s="69" t="n">
        <v>46277</v>
      </c>
      <c r="O4" s="69" t="n">
        <v>46278</v>
      </c>
      <c r="P4" s="68" t="n">
        <v>46279</v>
      </c>
      <c r="Q4" s="68" t="n">
        <v>46280</v>
      </c>
      <c r="R4" s="68" t="n">
        <v>46281</v>
      </c>
      <c r="S4" s="68" t="n">
        <v>46282</v>
      </c>
      <c r="T4" s="68" t="n">
        <v>46283</v>
      </c>
      <c r="U4" s="69" t="n">
        <v>46284</v>
      </c>
      <c r="V4" s="69" t="n">
        <v>46285</v>
      </c>
      <c r="W4" s="68" t="n">
        <v>46286</v>
      </c>
      <c r="X4" s="68" t="n">
        <v>46287</v>
      </c>
      <c r="Y4" s="68" t="n">
        <v>46288</v>
      </c>
      <c r="Z4" s="68" t="n">
        <v>46289</v>
      </c>
      <c r="AA4" s="68" t="n">
        <v>46290</v>
      </c>
      <c r="AB4" s="69" t="n">
        <v>46291</v>
      </c>
      <c r="AC4" s="69" t="n">
        <v>46292</v>
      </c>
      <c r="AD4" s="68" t="n">
        <v>46293</v>
      </c>
      <c r="AE4" s="68" t="n">
        <v>46294</v>
      </c>
      <c r="AF4" s="68" t="n">
        <v>46295</v>
      </c>
      <c r="AG4" s="68" t="n">
        <v>46296</v>
      </c>
      <c r="AH4" s="68" t="n">
        <v>46297</v>
      </c>
      <c r="AI4" s="69" t="n">
        <v>46298</v>
      </c>
      <c r="AJ4" s="69" t="n">
        <v>46299</v>
      </c>
      <c r="AK4" s="68" t="n">
        <v>46300</v>
      </c>
      <c r="AL4" s="68" t="n">
        <v>46301</v>
      </c>
      <c r="AM4" s="68" t="n">
        <v>46302</v>
      </c>
      <c r="AN4" s="68" t="n">
        <v>46303</v>
      </c>
      <c r="AO4" s="68" t="n">
        <v>46304</v>
      </c>
      <c r="AP4" s="69" t="n">
        <v>46305</v>
      </c>
      <c r="AQ4" s="69" t="n">
        <v>46306</v>
      </c>
      <c r="AR4" s="68" t="n">
        <v>46307</v>
      </c>
      <c r="AS4" s="68" t="n">
        <v>46308</v>
      </c>
      <c r="AT4" s="68" t="n">
        <v>46309</v>
      </c>
      <c r="AU4" s="68" t="n">
        <v>46310</v>
      </c>
      <c r="AV4" s="68" t="n">
        <v>46311</v>
      </c>
      <c r="AX4" s="16" t="inlineStr">
        <is>
          <t>시작</t>
        </is>
      </c>
      <c r="AY4" s="16" t="inlineStr">
        <is>
          <t>종료</t>
        </is>
      </c>
      <c r="AZ4" s="16" t="inlineStr">
        <is>
          <t>상태</t>
        </is>
      </c>
    </row>
    <row r="5" ht="14" customHeight="1">
      <c r="A5" s="16" t="n"/>
      <c r="B5" s="16" t="n"/>
      <c r="C5" s="16" t="n"/>
      <c r="D5" s="19" t="inlineStr">
        <is>
          <t>수</t>
        </is>
      </c>
      <c r="E5" s="19" t="inlineStr">
        <is>
          <t>목</t>
        </is>
      </c>
      <c r="F5" s="19" t="inlineStr">
        <is>
          <t>금</t>
        </is>
      </c>
      <c r="G5" s="20" t="inlineStr">
        <is>
          <t>토</t>
        </is>
      </c>
      <c r="H5" s="20" t="inlineStr">
        <is>
          <t>일</t>
        </is>
      </c>
      <c r="I5" s="19" t="inlineStr">
        <is>
          <t>월</t>
        </is>
      </c>
      <c r="J5" s="19" t="inlineStr">
        <is>
          <t>화</t>
        </is>
      </c>
      <c r="K5" s="19" t="inlineStr">
        <is>
          <t>수</t>
        </is>
      </c>
      <c r="L5" s="19" t="inlineStr">
        <is>
          <t>목</t>
        </is>
      </c>
      <c r="M5" s="19" t="inlineStr">
        <is>
          <t>금</t>
        </is>
      </c>
      <c r="N5" s="20" t="inlineStr">
        <is>
          <t>토</t>
        </is>
      </c>
      <c r="O5" s="20" t="inlineStr">
        <is>
          <t>일</t>
        </is>
      </c>
      <c r="P5" s="19" t="inlineStr">
        <is>
          <t>월</t>
        </is>
      </c>
      <c r="Q5" s="19" t="inlineStr">
        <is>
          <t>화</t>
        </is>
      </c>
      <c r="R5" s="19" t="inlineStr">
        <is>
          <t>수</t>
        </is>
      </c>
      <c r="S5" s="19" t="inlineStr">
        <is>
          <t>목</t>
        </is>
      </c>
      <c r="T5" s="19" t="inlineStr">
        <is>
          <t>금</t>
        </is>
      </c>
      <c r="U5" s="20" t="inlineStr">
        <is>
          <t>토</t>
        </is>
      </c>
      <c r="V5" s="20" t="inlineStr">
        <is>
          <t>일</t>
        </is>
      </c>
      <c r="W5" s="19" t="inlineStr">
        <is>
          <t>월</t>
        </is>
      </c>
      <c r="X5" s="19" t="inlineStr">
        <is>
          <t>화</t>
        </is>
      </c>
      <c r="Y5" s="19" t="inlineStr">
        <is>
          <t>수</t>
        </is>
      </c>
      <c r="Z5" s="19" t="inlineStr">
        <is>
          <t>목</t>
        </is>
      </c>
      <c r="AA5" s="19" t="inlineStr">
        <is>
          <t>금</t>
        </is>
      </c>
      <c r="AB5" s="20" t="inlineStr">
        <is>
          <t>토</t>
        </is>
      </c>
      <c r="AC5" s="20" t="inlineStr">
        <is>
          <t>일</t>
        </is>
      </c>
      <c r="AD5" s="19" t="inlineStr">
        <is>
          <t>월</t>
        </is>
      </c>
      <c r="AE5" s="19" t="inlineStr">
        <is>
          <t>화</t>
        </is>
      </c>
      <c r="AF5" s="19" t="inlineStr">
        <is>
          <t>수</t>
        </is>
      </c>
      <c r="AG5" s="19" t="inlineStr">
        <is>
          <t>목</t>
        </is>
      </c>
      <c r="AH5" s="19" t="inlineStr">
        <is>
          <t>금</t>
        </is>
      </c>
      <c r="AI5" s="20" t="inlineStr">
        <is>
          <t>토</t>
        </is>
      </c>
      <c r="AJ5" s="20" t="inlineStr">
        <is>
          <t>일</t>
        </is>
      </c>
      <c r="AK5" s="19" t="inlineStr">
        <is>
          <t>월</t>
        </is>
      </c>
      <c r="AL5" s="19" t="inlineStr">
        <is>
          <t>화</t>
        </is>
      </c>
      <c r="AM5" s="19" t="inlineStr">
        <is>
          <t>수</t>
        </is>
      </c>
      <c r="AN5" s="19" t="inlineStr">
        <is>
          <t>목</t>
        </is>
      </c>
      <c r="AO5" s="19" t="inlineStr">
        <is>
          <t>금</t>
        </is>
      </c>
      <c r="AP5" s="20" t="inlineStr">
        <is>
          <t>토</t>
        </is>
      </c>
      <c r="AQ5" s="20" t="inlineStr">
        <is>
          <t>일</t>
        </is>
      </c>
      <c r="AR5" s="19" t="inlineStr">
        <is>
          <t>월</t>
        </is>
      </c>
      <c r="AS5" s="19" t="inlineStr">
        <is>
          <t>화</t>
        </is>
      </c>
      <c r="AT5" s="19" t="inlineStr">
        <is>
          <t>수</t>
        </is>
      </c>
      <c r="AU5" s="19" t="inlineStr">
        <is>
          <t>목</t>
        </is>
      </c>
      <c r="AV5" s="19" t="inlineStr">
        <is>
          <t>금</t>
        </is>
      </c>
    </row>
    <row r="6" ht="15" customHeight="1">
      <c r="A6" s="21" t="inlineStr">
        <is>
          <t>1.1</t>
        </is>
      </c>
      <c r="B6" s="22">
        <f>WBS!C6</f>
        <v/>
      </c>
      <c r="C6" s="23">
        <f>WBS!D6</f>
        <v/>
      </c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  <c r="AA6" s="24" t="n"/>
      <c r="AB6" s="24" t="n"/>
      <c r="AC6" s="24" t="n"/>
      <c r="AD6" s="24" t="n"/>
      <c r="AE6" s="24" t="n"/>
      <c r="AF6" s="24" t="n"/>
      <c r="AG6" s="24" t="n"/>
      <c r="AH6" s="24" t="n"/>
      <c r="AI6" s="24" t="n"/>
      <c r="AJ6" s="24" t="n"/>
      <c r="AK6" s="24" t="n"/>
      <c r="AL6" s="24" t="n"/>
      <c r="AM6" s="24" t="n"/>
      <c r="AN6" s="24" t="n"/>
      <c r="AO6" s="24" t="n"/>
      <c r="AP6" s="24" t="n"/>
      <c r="AQ6" s="24" t="n"/>
      <c r="AR6" s="24" t="n"/>
      <c r="AS6" s="24" t="n"/>
      <c r="AT6" s="24" t="n"/>
      <c r="AU6" s="24" t="n"/>
      <c r="AV6" s="24" t="n"/>
      <c r="AX6" s="70">
        <f>WBS!G6</f>
        <v/>
      </c>
      <c r="AY6" s="70">
        <f>WBS!H6</f>
        <v/>
      </c>
      <c r="AZ6" s="26">
        <f>WBS!F6</f>
        <v/>
      </c>
    </row>
    <row r="7" ht="15" customHeight="1">
      <c r="A7" s="21" t="inlineStr">
        <is>
          <t>1.2</t>
        </is>
      </c>
      <c r="B7" s="22">
        <f>WBS!C7</f>
        <v/>
      </c>
      <c r="C7" s="23">
        <f>WBS!D7</f>
        <v/>
      </c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  <c r="AA7" s="24" t="n"/>
      <c r="AB7" s="24" t="n"/>
      <c r="AC7" s="24" t="n"/>
      <c r="AD7" s="24" t="n"/>
      <c r="AE7" s="24" t="n"/>
      <c r="AF7" s="24" t="n"/>
      <c r="AG7" s="24" t="n"/>
      <c r="AH7" s="24" t="n"/>
      <c r="AI7" s="24" t="n"/>
      <c r="AJ7" s="24" t="n"/>
      <c r="AK7" s="24" t="n"/>
      <c r="AL7" s="24" t="n"/>
      <c r="AM7" s="24" t="n"/>
      <c r="AN7" s="24" t="n"/>
      <c r="AO7" s="24" t="n"/>
      <c r="AP7" s="24" t="n"/>
      <c r="AQ7" s="24" t="n"/>
      <c r="AR7" s="24" t="n"/>
      <c r="AS7" s="24" t="n"/>
      <c r="AT7" s="24" t="n"/>
      <c r="AU7" s="24" t="n"/>
      <c r="AV7" s="24" t="n"/>
      <c r="AX7" s="70">
        <f>WBS!G7</f>
        <v/>
      </c>
      <c r="AY7" s="70">
        <f>WBS!H7</f>
        <v/>
      </c>
      <c r="AZ7" s="26">
        <f>WBS!F7</f>
        <v/>
      </c>
    </row>
    <row r="8" ht="15" customHeight="1">
      <c r="A8" s="21" t="inlineStr">
        <is>
          <t>1.3</t>
        </is>
      </c>
      <c r="B8" s="22">
        <f>WBS!C8</f>
        <v/>
      </c>
      <c r="C8" s="23">
        <f>WBS!D8</f>
        <v/>
      </c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  <c r="AA8" s="24" t="n"/>
      <c r="AB8" s="24" t="n"/>
      <c r="AC8" s="24" t="n"/>
      <c r="AD8" s="24" t="n"/>
      <c r="AE8" s="24" t="n"/>
      <c r="AF8" s="24" t="n"/>
      <c r="AG8" s="24" t="n"/>
      <c r="AH8" s="24" t="n"/>
      <c r="AI8" s="24" t="n"/>
      <c r="AJ8" s="24" t="n"/>
      <c r="AK8" s="24" t="n"/>
      <c r="AL8" s="24" t="n"/>
      <c r="AM8" s="24" t="n"/>
      <c r="AN8" s="24" t="n"/>
      <c r="AO8" s="24" t="n"/>
      <c r="AP8" s="24" t="n"/>
      <c r="AQ8" s="24" t="n"/>
      <c r="AR8" s="24" t="n"/>
      <c r="AS8" s="24" t="n"/>
      <c r="AT8" s="24" t="n"/>
      <c r="AU8" s="24" t="n"/>
      <c r="AV8" s="24" t="n"/>
      <c r="AX8" s="70">
        <f>WBS!G8</f>
        <v/>
      </c>
      <c r="AY8" s="70">
        <f>WBS!H8</f>
        <v/>
      </c>
      <c r="AZ8" s="26">
        <f>WBS!F8</f>
        <v/>
      </c>
    </row>
    <row r="9" ht="15" customHeight="1">
      <c r="A9" s="27" t="inlineStr">
        <is>
          <t>1.4</t>
        </is>
      </c>
      <c r="B9" s="22">
        <f>WBS!C9</f>
        <v/>
      </c>
      <c r="C9" s="28">
        <f>WBS!D9</f>
        <v/>
      </c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  <c r="AB9" s="24" t="n"/>
      <c r="AC9" s="24" t="n"/>
      <c r="AD9" s="24" t="n"/>
      <c r="AE9" s="24" t="n"/>
      <c r="AF9" s="24" t="n"/>
      <c r="AG9" s="24" t="n"/>
      <c r="AH9" s="24" t="n"/>
      <c r="AI9" s="24" t="n"/>
      <c r="AJ9" s="24" t="n"/>
      <c r="AK9" s="24" t="n"/>
      <c r="AL9" s="24" t="n"/>
      <c r="AM9" s="24" t="n"/>
      <c r="AN9" s="24" t="n"/>
      <c r="AO9" s="24" t="n"/>
      <c r="AP9" s="24" t="n"/>
      <c r="AQ9" s="24" t="n"/>
      <c r="AR9" s="24" t="n"/>
      <c r="AS9" s="24" t="n"/>
      <c r="AT9" s="24" t="n"/>
      <c r="AU9" s="24" t="n"/>
      <c r="AV9" s="24" t="n"/>
      <c r="AX9" s="70">
        <f>WBS!G9</f>
        <v/>
      </c>
      <c r="AY9" s="70">
        <f>WBS!H9</f>
        <v/>
      </c>
      <c r="AZ9" s="26">
        <f>WBS!F9</f>
        <v/>
      </c>
    </row>
    <row r="10" ht="15" customHeight="1">
      <c r="A10" s="21" t="inlineStr">
        <is>
          <t>1.5</t>
        </is>
      </c>
      <c r="B10" s="22">
        <f>WBS!C10</f>
        <v/>
      </c>
      <c r="C10" s="29">
        <f>WBS!D10</f>
        <v/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X10" s="70">
        <f>WBS!G10</f>
        <v/>
      </c>
      <c r="AY10" s="70">
        <f>WBS!H10</f>
        <v/>
      </c>
      <c r="AZ10" s="26">
        <f>WBS!F10</f>
        <v/>
      </c>
    </row>
    <row r="11" ht="15" customHeight="1">
      <c r="A11" s="30" t="inlineStr">
        <is>
          <t>1.6</t>
        </is>
      </c>
      <c r="B11" s="31">
        <f>WBS!C11</f>
        <v/>
      </c>
      <c r="C11" s="32">
        <f>WBS!D11</f>
        <v/>
      </c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  <c r="AA11" s="24" t="n"/>
      <c r="AB11" s="24" t="n"/>
      <c r="AC11" s="24" t="n"/>
      <c r="AD11" s="24" t="n"/>
      <c r="AE11" s="24" t="n"/>
      <c r="AF11" s="24" t="n"/>
      <c r="AG11" s="24" t="n"/>
      <c r="AH11" s="24" t="n"/>
      <c r="AI11" s="24" t="n"/>
      <c r="AJ11" s="24" t="n"/>
      <c r="AK11" s="24" t="n"/>
      <c r="AL11" s="24" t="n"/>
      <c r="AM11" s="24" t="n"/>
      <c r="AN11" s="24" t="n"/>
      <c r="AO11" s="24" t="n"/>
      <c r="AP11" s="24" t="n"/>
      <c r="AQ11" s="24" t="n"/>
      <c r="AR11" s="24" t="n"/>
      <c r="AS11" s="24" t="n"/>
      <c r="AT11" s="24" t="n"/>
      <c r="AU11" s="24" t="n"/>
      <c r="AV11" s="24" t="n"/>
      <c r="AX11" s="71">
        <f>WBS!G11</f>
        <v/>
      </c>
      <c r="AY11" s="71">
        <f>WBS!H11</f>
        <v/>
      </c>
      <c r="AZ11" s="30">
        <f>WBS!F11</f>
        <v/>
      </c>
    </row>
    <row r="12" ht="15" customHeight="1">
      <c r="A12" s="30" t="inlineStr">
        <is>
          <t>1.7</t>
        </is>
      </c>
      <c r="B12" s="31">
        <f>WBS!C12</f>
        <v/>
      </c>
      <c r="C12" s="32">
        <f>WBS!D12</f>
        <v/>
      </c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  <c r="AA12" s="24" t="n"/>
      <c r="AB12" s="24" t="n"/>
      <c r="AC12" s="24" t="n"/>
      <c r="AD12" s="24" t="n"/>
      <c r="AE12" s="24" t="n"/>
      <c r="AF12" s="24" t="n"/>
      <c r="AG12" s="24" t="n"/>
      <c r="AH12" s="24" t="n"/>
      <c r="AI12" s="24" t="n"/>
      <c r="AJ12" s="24" t="n"/>
      <c r="AK12" s="24" t="n"/>
      <c r="AL12" s="24" t="n"/>
      <c r="AM12" s="24" t="n"/>
      <c r="AN12" s="24" t="n"/>
      <c r="AO12" s="24" t="n"/>
      <c r="AP12" s="24" t="n"/>
      <c r="AQ12" s="24" t="n"/>
      <c r="AR12" s="24" t="n"/>
      <c r="AS12" s="24" t="n"/>
      <c r="AT12" s="24" t="n"/>
      <c r="AU12" s="24" t="n"/>
      <c r="AV12" s="24" t="n"/>
      <c r="AX12" s="71">
        <f>WBS!G12</f>
        <v/>
      </c>
      <c r="AY12" s="71">
        <f>WBS!H12</f>
        <v/>
      </c>
      <c r="AZ12" s="30">
        <f>WBS!F12</f>
        <v/>
      </c>
    </row>
    <row r="13" ht="15" customHeight="1">
      <c r="A13" s="21" t="inlineStr">
        <is>
          <t>2.1</t>
        </is>
      </c>
      <c r="B13" s="22">
        <f>WBS!C14</f>
        <v/>
      </c>
      <c r="C13" s="29">
        <f>WBS!D14</f>
        <v/>
      </c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  <c r="AA13" s="24" t="n"/>
      <c r="AB13" s="24" t="n"/>
      <c r="AC13" s="24" t="n"/>
      <c r="AD13" s="24" t="n"/>
      <c r="AE13" s="24" t="n"/>
      <c r="AF13" s="24" t="n"/>
      <c r="AG13" s="24" t="n"/>
      <c r="AH13" s="24" t="n"/>
      <c r="AI13" s="24" t="n"/>
      <c r="AJ13" s="24" t="n"/>
      <c r="AK13" s="24" t="n"/>
      <c r="AL13" s="24" t="n"/>
      <c r="AM13" s="24" t="n"/>
      <c r="AN13" s="24" t="n"/>
      <c r="AO13" s="24" t="n"/>
      <c r="AP13" s="24" t="n"/>
      <c r="AQ13" s="24" t="n"/>
      <c r="AR13" s="24" t="n"/>
      <c r="AS13" s="24" t="n"/>
      <c r="AT13" s="24" t="n"/>
      <c r="AU13" s="24" t="n"/>
      <c r="AV13" s="24" t="n"/>
      <c r="AX13" s="70">
        <f>WBS!G14</f>
        <v/>
      </c>
      <c r="AY13" s="70">
        <f>WBS!H14</f>
        <v/>
      </c>
      <c r="AZ13" s="26">
        <f>WBS!F14</f>
        <v/>
      </c>
    </row>
    <row r="14" ht="15" customHeight="1">
      <c r="A14" s="30" t="inlineStr">
        <is>
          <t>2.2</t>
        </is>
      </c>
      <c r="B14" s="31">
        <f>WBS!C15</f>
        <v/>
      </c>
      <c r="C14" s="32">
        <f>WBS!D15</f>
        <v/>
      </c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X14" s="71">
        <f>WBS!G15</f>
        <v/>
      </c>
      <c r="AY14" s="71">
        <f>WBS!H15</f>
        <v/>
      </c>
      <c r="AZ14" s="30">
        <f>WBS!F15</f>
        <v/>
      </c>
    </row>
    <row r="15" ht="15" customHeight="1">
      <c r="A15" s="34" t="inlineStr">
        <is>
          <t>2.3</t>
        </is>
      </c>
      <c r="B15" s="31">
        <f>WBS!C16</f>
        <v/>
      </c>
      <c r="C15" s="32">
        <f>WBS!D16</f>
        <v/>
      </c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X15" s="71">
        <f>WBS!G16</f>
        <v/>
      </c>
      <c r="AY15" s="71">
        <f>WBS!H16</f>
        <v/>
      </c>
      <c r="AZ15" s="30">
        <f>WBS!F16</f>
        <v/>
      </c>
    </row>
    <row r="16" ht="15" customHeight="1">
      <c r="A16" s="30" t="inlineStr">
        <is>
          <t>2.4</t>
        </is>
      </c>
      <c r="B16" s="31">
        <f>WBS!C17</f>
        <v/>
      </c>
      <c r="C16" s="32">
        <f>WBS!D17</f>
        <v/>
      </c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X16" s="71">
        <f>WBS!G17</f>
        <v/>
      </c>
      <c r="AY16" s="71">
        <f>WBS!H17</f>
        <v/>
      </c>
      <c r="AZ16" s="30">
        <f>WBS!F17</f>
        <v/>
      </c>
    </row>
    <row r="17" ht="15" customHeight="1">
      <c r="A17" s="21" t="inlineStr">
        <is>
          <t>2.5</t>
        </is>
      </c>
      <c r="B17" s="22">
        <f>WBS!C18</f>
        <v/>
      </c>
      <c r="C17" s="35">
        <f>WBS!D18</f>
        <v/>
      </c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X17" s="70">
        <f>WBS!G18</f>
        <v/>
      </c>
      <c r="AY17" s="70">
        <f>WBS!H18</f>
        <v/>
      </c>
      <c r="AZ17" s="26">
        <f>WBS!F18</f>
        <v/>
      </c>
    </row>
    <row r="18" ht="15" customHeight="1">
      <c r="A18" s="21" t="inlineStr">
        <is>
          <t>2.6</t>
        </is>
      </c>
      <c r="B18" s="22">
        <f>WBS!C19</f>
        <v/>
      </c>
      <c r="C18" s="29">
        <f>WBS!D19</f>
        <v/>
      </c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X18" s="70">
        <f>WBS!G19</f>
        <v/>
      </c>
      <c r="AY18" s="70">
        <f>WBS!H19</f>
        <v/>
      </c>
      <c r="AZ18" s="26">
        <f>WBS!F19</f>
        <v/>
      </c>
    </row>
    <row r="19" ht="15" customHeight="1">
      <c r="A19" s="27" t="inlineStr">
        <is>
          <t>2.7</t>
        </is>
      </c>
      <c r="B19" s="22">
        <f>WBS!C20</f>
        <v/>
      </c>
      <c r="C19" s="36">
        <f>WBS!D20</f>
        <v/>
      </c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X19" s="70">
        <f>WBS!G20</f>
        <v/>
      </c>
      <c r="AY19" s="70">
        <f>WBS!H20</f>
        <v/>
      </c>
      <c r="AZ19" s="26">
        <f>WBS!F20</f>
        <v/>
      </c>
    </row>
    <row r="20" ht="15" customHeight="1">
      <c r="A20" s="30" t="inlineStr">
        <is>
          <t>2.8</t>
        </is>
      </c>
      <c r="B20" s="31">
        <f>WBS!C21</f>
        <v/>
      </c>
      <c r="C20" s="37">
        <f>WBS!D21</f>
        <v/>
      </c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X20" s="71">
        <f>WBS!G21</f>
        <v/>
      </c>
      <c r="AY20" s="71">
        <f>WBS!H21</f>
        <v/>
      </c>
      <c r="AZ20" s="30">
        <f>WBS!F21</f>
        <v/>
      </c>
    </row>
    <row r="21" ht="15" customHeight="1">
      <c r="A21" s="30" t="inlineStr">
        <is>
          <t>2.9</t>
        </is>
      </c>
      <c r="B21" s="31">
        <f>WBS!C22</f>
        <v/>
      </c>
      <c r="C21" s="37">
        <f>WBS!D22</f>
        <v/>
      </c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X21" s="71">
        <f>WBS!G22</f>
        <v/>
      </c>
      <c r="AY21" s="71">
        <f>WBS!H22</f>
        <v/>
      </c>
      <c r="AZ21" s="30">
        <f>WBS!F22</f>
        <v/>
      </c>
    </row>
    <row r="22" ht="15" customHeight="1">
      <c r="A22" s="27" t="inlineStr">
        <is>
          <t>3.1</t>
        </is>
      </c>
      <c r="B22" s="22">
        <f>WBS!C24</f>
        <v/>
      </c>
      <c r="C22" s="28">
        <f>WBS!D24</f>
        <v/>
      </c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X22" s="70">
        <f>WBS!G24</f>
        <v/>
      </c>
      <c r="AY22" s="70">
        <f>WBS!H24</f>
        <v/>
      </c>
      <c r="AZ22" s="26">
        <f>WBS!F24</f>
        <v/>
      </c>
    </row>
    <row r="23" ht="15" customHeight="1">
      <c r="A23" s="27" t="inlineStr">
        <is>
          <t>3.1.1</t>
        </is>
      </c>
      <c r="B23" s="22">
        <f>WBS!C25</f>
        <v/>
      </c>
      <c r="C23" s="35">
        <f>WBS!D25</f>
        <v/>
      </c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X23" s="70">
        <f>WBS!G25</f>
        <v/>
      </c>
      <c r="AY23" s="70">
        <f>WBS!H25</f>
        <v/>
      </c>
      <c r="AZ23" s="26">
        <f>WBS!F25</f>
        <v/>
      </c>
    </row>
    <row r="24" ht="15" customHeight="1">
      <c r="A24" s="21" t="inlineStr">
        <is>
          <t>3.1.2</t>
        </is>
      </c>
      <c r="B24" s="22">
        <f>WBS!C26</f>
        <v/>
      </c>
      <c r="C24" s="28">
        <f>WBS!D26</f>
        <v/>
      </c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X24" s="70">
        <f>WBS!G26</f>
        <v/>
      </c>
      <c r="AY24" s="70">
        <f>WBS!H26</f>
        <v/>
      </c>
      <c r="AZ24" s="26">
        <f>WBS!F26</f>
        <v/>
      </c>
    </row>
    <row r="25" ht="15" customHeight="1">
      <c r="A25" s="34" t="inlineStr">
        <is>
          <t>3.1.3</t>
        </is>
      </c>
      <c r="B25" s="31">
        <f>WBS!C27</f>
        <v/>
      </c>
      <c r="C25" s="38">
        <f>WBS!D27</f>
        <v/>
      </c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X25" s="71">
        <f>WBS!G27</f>
        <v/>
      </c>
      <c r="AY25" s="71">
        <f>WBS!H27</f>
        <v/>
      </c>
      <c r="AZ25" s="30">
        <f>WBS!F27</f>
        <v/>
      </c>
    </row>
    <row r="26" ht="15" customHeight="1">
      <c r="A26" s="34" t="inlineStr">
        <is>
          <t>3.1.4</t>
        </is>
      </c>
      <c r="B26" s="31">
        <f>WBS!C28</f>
        <v/>
      </c>
      <c r="C26" s="38">
        <f>WBS!D28</f>
        <v/>
      </c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X26" s="71">
        <f>WBS!G28</f>
        <v/>
      </c>
      <c r="AY26" s="71">
        <f>WBS!H28</f>
        <v/>
      </c>
      <c r="AZ26" s="30">
        <f>WBS!F28</f>
        <v/>
      </c>
    </row>
    <row r="27" ht="15" customHeight="1">
      <c r="A27" s="30" t="inlineStr">
        <is>
          <t>3.1.5</t>
        </is>
      </c>
      <c r="B27" s="31">
        <f>WBS!C29</f>
        <v/>
      </c>
      <c r="C27" s="38">
        <f>WBS!D29</f>
        <v/>
      </c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24" t="n"/>
      <c r="Z27" s="24" t="n"/>
      <c r="AA27" s="24" t="n"/>
      <c r="AB27" s="24" t="n"/>
      <c r="AC27" s="24" t="n"/>
      <c r="AD27" s="24" t="n"/>
      <c r="AE27" s="24" t="n"/>
      <c r="AF27" s="24" t="n"/>
      <c r="AG27" s="24" t="n"/>
      <c r="AH27" s="24" t="n"/>
      <c r="AI27" s="24" t="n"/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X27" s="71">
        <f>WBS!G29</f>
        <v/>
      </c>
      <c r="AY27" s="71">
        <f>WBS!H29</f>
        <v/>
      </c>
      <c r="AZ27" s="30">
        <f>WBS!F29</f>
        <v/>
      </c>
    </row>
    <row r="28" ht="15" customHeight="1">
      <c r="A28" s="30" t="inlineStr">
        <is>
          <t>3.2</t>
        </is>
      </c>
      <c r="B28" s="31">
        <f>WBS!C30</f>
        <v/>
      </c>
      <c r="C28" s="38">
        <f>WBS!D30</f>
        <v/>
      </c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/>
      <c r="AH28" s="24" t="n"/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X28" s="71">
        <f>WBS!G30</f>
        <v/>
      </c>
      <c r="AY28" s="71">
        <f>WBS!H30</f>
        <v/>
      </c>
      <c r="AZ28" s="30">
        <f>WBS!F30</f>
        <v/>
      </c>
    </row>
    <row r="29" ht="15" customHeight="1">
      <c r="A29" s="30" t="inlineStr">
        <is>
          <t>3.2.1</t>
        </is>
      </c>
      <c r="B29" s="31">
        <f>WBS!C31</f>
        <v/>
      </c>
      <c r="C29" s="38">
        <f>WBS!D31</f>
        <v/>
      </c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X29" s="71">
        <f>WBS!G31</f>
        <v/>
      </c>
      <c r="AY29" s="71">
        <f>WBS!H31</f>
        <v/>
      </c>
      <c r="AZ29" s="30">
        <f>WBS!F31</f>
        <v/>
      </c>
    </row>
    <row r="30" ht="15" customHeight="1">
      <c r="A30" s="30" t="inlineStr">
        <is>
          <t>3.2.2</t>
        </is>
      </c>
      <c r="B30" s="31">
        <f>WBS!C32</f>
        <v/>
      </c>
      <c r="C30" s="38">
        <f>WBS!D32</f>
        <v/>
      </c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X30" s="71">
        <f>WBS!G32</f>
        <v/>
      </c>
      <c r="AY30" s="71">
        <f>WBS!H32</f>
        <v/>
      </c>
      <c r="AZ30" s="30">
        <f>WBS!F32</f>
        <v/>
      </c>
    </row>
    <row r="31" ht="15" customHeight="1">
      <c r="A31" s="30" t="inlineStr">
        <is>
          <t>3.2.3</t>
        </is>
      </c>
      <c r="B31" s="31">
        <f>WBS!C33</f>
        <v/>
      </c>
      <c r="C31" s="38">
        <f>WBS!D33</f>
        <v/>
      </c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X31" s="71">
        <f>WBS!G33</f>
        <v/>
      </c>
      <c r="AY31" s="71">
        <f>WBS!H33</f>
        <v/>
      </c>
      <c r="AZ31" s="30">
        <f>WBS!F33</f>
        <v/>
      </c>
    </row>
    <row r="32" ht="15" customHeight="1">
      <c r="A32" s="27" t="inlineStr">
        <is>
          <t>3.3</t>
        </is>
      </c>
      <c r="B32" s="22">
        <f>WBS!C34</f>
        <v/>
      </c>
      <c r="C32" s="28">
        <f>WBS!D34</f>
        <v/>
      </c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X32" s="70">
        <f>WBS!G34</f>
        <v/>
      </c>
      <c r="AY32" s="70">
        <f>WBS!H34</f>
        <v/>
      </c>
      <c r="AZ32" s="26">
        <f>WBS!F34</f>
        <v/>
      </c>
    </row>
    <row r="33" ht="15" customHeight="1">
      <c r="A33" s="21" t="inlineStr">
        <is>
          <t>3.3.1</t>
        </is>
      </c>
      <c r="B33" s="22">
        <f>WBS!C35</f>
        <v/>
      </c>
      <c r="C33" s="29">
        <f>WBS!D35</f>
        <v/>
      </c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X33" s="70">
        <f>WBS!G35</f>
        <v/>
      </c>
      <c r="AY33" s="70">
        <f>WBS!H35</f>
        <v/>
      </c>
      <c r="AZ33" s="26">
        <f>WBS!F35</f>
        <v/>
      </c>
    </row>
    <row r="34" ht="15" customHeight="1">
      <c r="A34" s="30" t="inlineStr">
        <is>
          <t>3.3.2</t>
        </is>
      </c>
      <c r="B34" s="31">
        <f>WBS!C36</f>
        <v/>
      </c>
      <c r="C34" s="32">
        <f>WBS!D36</f>
        <v/>
      </c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X34" s="71">
        <f>WBS!G36</f>
        <v/>
      </c>
      <c r="AY34" s="71">
        <f>WBS!H36</f>
        <v/>
      </c>
      <c r="AZ34" s="30">
        <f>WBS!F36</f>
        <v/>
      </c>
    </row>
    <row r="35" ht="15" customHeight="1">
      <c r="A35" s="30" t="inlineStr">
        <is>
          <t>3.3.3</t>
        </is>
      </c>
      <c r="B35" s="31">
        <f>WBS!C37</f>
        <v/>
      </c>
      <c r="C35" s="32">
        <f>WBS!D37</f>
        <v/>
      </c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X35" s="71">
        <f>WBS!G37</f>
        <v/>
      </c>
      <c r="AY35" s="71">
        <f>WBS!H37</f>
        <v/>
      </c>
      <c r="AZ35" s="30">
        <f>WBS!F37</f>
        <v/>
      </c>
    </row>
    <row r="36" ht="15" customHeight="1">
      <c r="A36" s="34" t="inlineStr">
        <is>
          <t>3.3.4</t>
        </is>
      </c>
      <c r="B36" s="31">
        <f>WBS!C38</f>
        <v/>
      </c>
      <c r="C36" s="32">
        <f>WBS!D38</f>
        <v/>
      </c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X36" s="71">
        <f>WBS!G38</f>
        <v/>
      </c>
      <c r="AY36" s="71">
        <f>WBS!H38</f>
        <v/>
      </c>
      <c r="AZ36" s="30">
        <f>WBS!F38</f>
        <v/>
      </c>
    </row>
    <row r="37" ht="15" customHeight="1">
      <c r="A37" s="30" t="inlineStr">
        <is>
          <t>3.4</t>
        </is>
      </c>
      <c r="B37" s="31">
        <f>WBS!C39</f>
        <v/>
      </c>
      <c r="C37" s="32">
        <f>WBS!D39</f>
        <v/>
      </c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X37" s="71">
        <f>WBS!G39</f>
        <v/>
      </c>
      <c r="AY37" s="71">
        <f>WBS!H39</f>
        <v/>
      </c>
      <c r="AZ37" s="30">
        <f>WBS!F39</f>
        <v/>
      </c>
    </row>
    <row r="38" ht="15" customHeight="1">
      <c r="A38" s="21" t="inlineStr">
        <is>
          <t>3.4.1</t>
        </is>
      </c>
      <c r="B38" s="22">
        <f>WBS!C40</f>
        <v/>
      </c>
      <c r="C38" s="29">
        <f>WBS!D40</f>
        <v/>
      </c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X38" s="70">
        <f>WBS!G40</f>
        <v/>
      </c>
      <c r="AY38" s="70">
        <f>WBS!H40</f>
        <v/>
      </c>
      <c r="AZ38" s="26">
        <f>WBS!F40</f>
        <v/>
      </c>
    </row>
    <row r="39" ht="15" customHeight="1">
      <c r="A39" s="34" t="inlineStr">
        <is>
          <t>3.4.2</t>
        </is>
      </c>
      <c r="B39" s="31">
        <f>WBS!C41</f>
        <v/>
      </c>
      <c r="C39" s="32">
        <f>WBS!D41</f>
        <v/>
      </c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X39" s="71">
        <f>WBS!G41</f>
        <v/>
      </c>
      <c r="AY39" s="71">
        <f>WBS!H41</f>
        <v/>
      </c>
      <c r="AZ39" s="30">
        <f>WBS!F41</f>
        <v/>
      </c>
    </row>
    <row r="40" ht="15" customHeight="1">
      <c r="A40" s="30" t="inlineStr">
        <is>
          <t>3.4.3</t>
        </is>
      </c>
      <c r="B40" s="31">
        <f>WBS!C42</f>
        <v/>
      </c>
      <c r="C40" s="32">
        <f>WBS!D42</f>
        <v/>
      </c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X40" s="71">
        <f>WBS!G42</f>
        <v/>
      </c>
      <c r="AY40" s="71">
        <f>WBS!H42</f>
        <v/>
      </c>
      <c r="AZ40" s="30">
        <f>WBS!F42</f>
        <v/>
      </c>
    </row>
    <row r="41" ht="15" customHeight="1">
      <c r="A41" s="30" t="inlineStr">
        <is>
          <t>3.4.4</t>
        </is>
      </c>
      <c r="B41" s="31">
        <f>WBS!C43</f>
        <v/>
      </c>
      <c r="C41" s="32">
        <f>WBS!D43</f>
        <v/>
      </c>
      <c r="D41" s="24" t="n"/>
      <c r="E41" s="24" t="n"/>
      <c r="F41" s="24" t="n"/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X41" s="71">
        <f>WBS!G43</f>
        <v/>
      </c>
      <c r="AY41" s="71">
        <f>WBS!H43</f>
        <v/>
      </c>
      <c r="AZ41" s="30">
        <f>WBS!F43</f>
        <v/>
      </c>
    </row>
    <row r="42" ht="15" customHeight="1">
      <c r="A42" s="30" t="inlineStr">
        <is>
          <t>3.5</t>
        </is>
      </c>
      <c r="B42" s="31">
        <f>WBS!C44</f>
        <v/>
      </c>
      <c r="C42" s="32">
        <f>WBS!D44</f>
        <v/>
      </c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X42" s="71">
        <f>WBS!G44</f>
        <v/>
      </c>
      <c r="AY42" s="71">
        <f>WBS!H44</f>
        <v/>
      </c>
      <c r="AZ42" s="30">
        <f>WBS!F44</f>
        <v/>
      </c>
    </row>
    <row r="43" ht="15" customHeight="1">
      <c r="A43" s="30" t="inlineStr">
        <is>
          <t>3.5.1</t>
        </is>
      </c>
      <c r="B43" s="31">
        <f>WBS!C45</f>
        <v/>
      </c>
      <c r="C43" s="32">
        <f>WBS!D45</f>
        <v/>
      </c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X43" s="71">
        <f>WBS!G45</f>
        <v/>
      </c>
      <c r="AY43" s="71">
        <f>WBS!H45</f>
        <v/>
      </c>
      <c r="AZ43" s="30">
        <f>WBS!F45</f>
        <v/>
      </c>
    </row>
    <row r="44" ht="15" customHeight="1">
      <c r="A44" s="30" t="inlineStr">
        <is>
          <t>3.5.2</t>
        </is>
      </c>
      <c r="B44" s="31">
        <f>WBS!C46</f>
        <v/>
      </c>
      <c r="C44" s="32">
        <f>WBS!D46</f>
        <v/>
      </c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X44" s="71">
        <f>WBS!G46</f>
        <v/>
      </c>
      <c r="AY44" s="71">
        <f>WBS!H46</f>
        <v/>
      </c>
      <c r="AZ44" s="30">
        <f>WBS!F46</f>
        <v/>
      </c>
    </row>
    <row r="45" ht="15" customHeight="1">
      <c r="A45" s="21" t="inlineStr">
        <is>
          <t>3.5.3</t>
        </is>
      </c>
      <c r="B45" s="22">
        <f>WBS!C47</f>
        <v/>
      </c>
      <c r="C45" s="36">
        <f>WBS!D47</f>
        <v/>
      </c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X45" s="70">
        <f>WBS!G47</f>
        <v/>
      </c>
      <c r="AY45" s="70">
        <f>WBS!H47</f>
        <v/>
      </c>
      <c r="AZ45" s="26">
        <f>WBS!F47</f>
        <v/>
      </c>
    </row>
    <row r="46" ht="15" customHeight="1">
      <c r="A46" s="30" t="inlineStr">
        <is>
          <t>3.6</t>
        </is>
      </c>
      <c r="B46" s="31">
        <f>WBS!C48</f>
        <v/>
      </c>
      <c r="C46" s="37">
        <f>WBS!D48</f>
        <v/>
      </c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X46" s="71">
        <f>WBS!G48</f>
        <v/>
      </c>
      <c r="AY46" s="71">
        <f>WBS!H48</f>
        <v/>
      </c>
      <c r="AZ46" s="30">
        <f>WBS!F48</f>
        <v/>
      </c>
    </row>
    <row r="47" ht="15" customHeight="1">
      <c r="A47" s="30" t="inlineStr">
        <is>
          <t>3.6.1</t>
        </is>
      </c>
      <c r="B47" s="31">
        <f>WBS!C49</f>
        <v/>
      </c>
      <c r="C47" s="37">
        <f>WBS!D49</f>
        <v/>
      </c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X47" s="71">
        <f>WBS!G49</f>
        <v/>
      </c>
      <c r="AY47" s="71">
        <f>WBS!H49</f>
        <v/>
      </c>
      <c r="AZ47" s="30">
        <f>WBS!F49</f>
        <v/>
      </c>
    </row>
    <row r="48" ht="15" customHeight="1">
      <c r="A48" s="21" t="inlineStr">
        <is>
          <t>3.6.2</t>
        </is>
      </c>
      <c r="B48" s="22">
        <f>WBS!C50</f>
        <v/>
      </c>
      <c r="C48" s="36">
        <f>WBS!D50</f>
        <v/>
      </c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X48" s="70">
        <f>WBS!G50</f>
        <v/>
      </c>
      <c r="AY48" s="70">
        <f>WBS!H50</f>
        <v/>
      </c>
      <c r="AZ48" s="26">
        <f>WBS!F50</f>
        <v/>
      </c>
    </row>
    <row r="49" ht="15" customHeight="1">
      <c r="A49" s="30" t="inlineStr">
        <is>
          <t>3.6.3</t>
        </is>
      </c>
      <c r="B49" s="31">
        <f>WBS!C51</f>
        <v/>
      </c>
      <c r="C49" s="37">
        <f>WBS!D51</f>
        <v/>
      </c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X49" s="71">
        <f>WBS!G51</f>
        <v/>
      </c>
      <c r="AY49" s="71">
        <f>WBS!H51</f>
        <v/>
      </c>
      <c r="AZ49" s="30">
        <f>WBS!F51</f>
        <v/>
      </c>
    </row>
    <row r="50" ht="15" customHeight="1">
      <c r="A50" s="34" t="inlineStr">
        <is>
          <t>3.6.4</t>
        </is>
      </c>
      <c r="B50" s="31">
        <f>WBS!C52</f>
        <v/>
      </c>
      <c r="C50" s="37">
        <f>WBS!D52</f>
        <v/>
      </c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X50" s="71">
        <f>WBS!G52</f>
        <v/>
      </c>
      <c r="AY50" s="71">
        <f>WBS!H52</f>
        <v/>
      </c>
      <c r="AZ50" s="30">
        <f>WBS!F52</f>
        <v/>
      </c>
    </row>
    <row r="51" ht="15" customHeight="1">
      <c r="A51" s="30" t="inlineStr">
        <is>
          <t>3.6.5</t>
        </is>
      </c>
      <c r="B51" s="31">
        <f>WBS!C53</f>
        <v/>
      </c>
      <c r="C51" s="37">
        <f>WBS!D53</f>
        <v/>
      </c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X51" s="71">
        <f>WBS!G53</f>
        <v/>
      </c>
      <c r="AY51" s="71">
        <f>WBS!H53</f>
        <v/>
      </c>
      <c r="AZ51" s="30">
        <f>WBS!F53</f>
        <v/>
      </c>
    </row>
    <row r="52" ht="15" customHeight="1">
      <c r="A52" s="34" t="inlineStr">
        <is>
          <t>3.6.6</t>
        </is>
      </c>
      <c r="B52" s="31">
        <f>WBS!C54</f>
        <v/>
      </c>
      <c r="C52" s="37">
        <f>WBS!D54</f>
        <v/>
      </c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X52" s="71">
        <f>WBS!G54</f>
        <v/>
      </c>
      <c r="AY52" s="71">
        <f>WBS!H54</f>
        <v/>
      </c>
      <c r="AZ52" s="30">
        <f>WBS!F54</f>
        <v/>
      </c>
    </row>
    <row r="53" ht="15" customHeight="1">
      <c r="A53" s="30" t="inlineStr">
        <is>
          <t>3.6.7</t>
        </is>
      </c>
      <c r="B53" s="31">
        <f>WBS!C55</f>
        <v/>
      </c>
      <c r="C53" s="37">
        <f>WBS!D55</f>
        <v/>
      </c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X53" s="71">
        <f>WBS!G55</f>
        <v/>
      </c>
      <c r="AY53" s="71">
        <f>WBS!H55</f>
        <v/>
      </c>
      <c r="AZ53" s="30">
        <f>WBS!F55</f>
        <v/>
      </c>
    </row>
    <row r="54" ht="15" customHeight="1">
      <c r="A54" s="21" t="inlineStr">
        <is>
          <t>3.7</t>
        </is>
      </c>
      <c r="B54" s="22">
        <f>WBS!C56</f>
        <v/>
      </c>
      <c r="C54" s="35">
        <f>WBS!D56</f>
        <v/>
      </c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X54" s="70">
        <f>WBS!G56</f>
        <v/>
      </c>
      <c r="AY54" s="70">
        <f>WBS!H56</f>
        <v/>
      </c>
      <c r="AZ54" s="26">
        <f>WBS!F56</f>
        <v/>
      </c>
    </row>
    <row r="55" ht="15" customHeight="1">
      <c r="A55" s="30" t="inlineStr">
        <is>
          <t>3.8</t>
        </is>
      </c>
      <c r="B55" s="31">
        <f>WBS!C57</f>
        <v/>
      </c>
      <c r="C55" s="39">
        <f>WBS!D57</f>
        <v/>
      </c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X55" s="71">
        <f>WBS!G57</f>
        <v/>
      </c>
      <c r="AY55" s="71">
        <f>WBS!H57</f>
        <v/>
      </c>
      <c r="AZ55" s="30">
        <f>WBS!F57</f>
        <v/>
      </c>
    </row>
    <row r="56" ht="15" customHeight="1">
      <c r="A56" s="30" t="inlineStr">
        <is>
          <t>3.8.1</t>
        </is>
      </c>
      <c r="B56" s="31">
        <f>WBS!C58</f>
        <v/>
      </c>
      <c r="C56" s="39">
        <f>WBS!D58</f>
        <v/>
      </c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X56" s="71">
        <f>WBS!G58</f>
        <v/>
      </c>
      <c r="AY56" s="71">
        <f>WBS!H58</f>
        <v/>
      </c>
      <c r="AZ56" s="30">
        <f>WBS!F58</f>
        <v/>
      </c>
    </row>
    <row r="57" ht="15" customHeight="1">
      <c r="A57" s="21" t="inlineStr">
        <is>
          <t>3.8.2</t>
        </is>
      </c>
      <c r="B57" s="22">
        <f>WBS!C59</f>
        <v/>
      </c>
      <c r="C57" s="29">
        <f>WBS!D59</f>
        <v/>
      </c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X57" s="70">
        <f>WBS!G59</f>
        <v/>
      </c>
      <c r="AY57" s="70">
        <f>WBS!H59</f>
        <v/>
      </c>
      <c r="AZ57" s="26">
        <f>WBS!F59</f>
        <v/>
      </c>
    </row>
    <row r="58" ht="15" customHeight="1">
      <c r="A58" s="30" t="inlineStr">
        <is>
          <t>3.8.3</t>
        </is>
      </c>
      <c r="B58" s="31">
        <f>WBS!C60</f>
        <v/>
      </c>
      <c r="C58" s="32">
        <f>WBS!D60</f>
        <v/>
      </c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X58" s="71">
        <f>WBS!G60</f>
        <v/>
      </c>
      <c r="AY58" s="71">
        <f>WBS!H60</f>
        <v/>
      </c>
      <c r="AZ58" s="30">
        <f>WBS!F60</f>
        <v/>
      </c>
    </row>
    <row r="59" ht="15" customHeight="1">
      <c r="A59" s="30" t="inlineStr">
        <is>
          <t>3.8.4</t>
        </is>
      </c>
      <c r="B59" s="31">
        <f>WBS!C61</f>
        <v/>
      </c>
      <c r="C59" s="32">
        <f>WBS!D61</f>
        <v/>
      </c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X59" s="71">
        <f>WBS!G61</f>
        <v/>
      </c>
      <c r="AY59" s="71">
        <f>WBS!H61</f>
        <v/>
      </c>
      <c r="AZ59" s="30">
        <f>WBS!F61</f>
        <v/>
      </c>
    </row>
    <row r="60" ht="15" customHeight="1">
      <c r="A60" s="30" t="inlineStr">
        <is>
          <t>3.9</t>
        </is>
      </c>
      <c r="B60" s="31">
        <f>WBS!C62</f>
        <v/>
      </c>
      <c r="C60" s="32">
        <f>WBS!D62</f>
        <v/>
      </c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X60" s="71">
        <f>WBS!G62</f>
        <v/>
      </c>
      <c r="AY60" s="71">
        <f>WBS!H62</f>
        <v/>
      </c>
      <c r="AZ60" s="30">
        <f>WBS!F62</f>
        <v/>
      </c>
    </row>
    <row r="61" ht="15" customHeight="1">
      <c r="A61" s="21" t="inlineStr">
        <is>
          <t>3.10</t>
        </is>
      </c>
      <c r="B61" s="22">
        <f>WBS!C63</f>
        <v/>
      </c>
      <c r="C61" s="35">
        <f>WBS!D63</f>
        <v/>
      </c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X61" s="70">
        <f>WBS!G63</f>
        <v/>
      </c>
      <c r="AY61" s="70">
        <f>WBS!H63</f>
        <v/>
      </c>
      <c r="AZ61" s="26">
        <f>WBS!F63</f>
        <v/>
      </c>
    </row>
    <row r="62" ht="15" customHeight="1">
      <c r="A62" s="30" t="inlineStr">
        <is>
          <t>3.11</t>
        </is>
      </c>
      <c r="B62" s="31">
        <f>WBS!C64</f>
        <v/>
      </c>
      <c r="C62" s="39">
        <f>WBS!D64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X62" s="71">
        <f>WBS!G64</f>
        <v/>
      </c>
      <c r="AY62" s="71">
        <f>WBS!H64</f>
        <v/>
      </c>
      <c r="AZ62" s="30">
        <f>WBS!F64</f>
        <v/>
      </c>
    </row>
    <row r="63" ht="15" customHeight="1">
      <c r="A63" s="30" t="inlineStr">
        <is>
          <t>4.1</t>
        </is>
      </c>
      <c r="B63" s="31">
        <f>WBS!C66</f>
        <v/>
      </c>
      <c r="C63" s="39">
        <f>WBS!D66</f>
        <v/>
      </c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X63" s="71">
        <f>WBS!G66</f>
        <v/>
      </c>
      <c r="AY63" s="71">
        <f>WBS!H66</f>
        <v/>
      </c>
      <c r="AZ63" s="30">
        <f>WBS!F66</f>
        <v/>
      </c>
    </row>
    <row r="64" ht="15" customHeight="1">
      <c r="A64" s="21" t="inlineStr">
        <is>
          <t>4.2</t>
        </is>
      </c>
      <c r="B64" s="22">
        <f>WBS!C67</f>
        <v/>
      </c>
      <c r="C64" s="35">
        <f>WBS!D67</f>
        <v/>
      </c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X64" s="70">
        <f>WBS!G67</f>
        <v/>
      </c>
      <c r="AY64" s="70">
        <f>WBS!H67</f>
        <v/>
      </c>
      <c r="AZ64" s="26">
        <f>WBS!F67</f>
        <v/>
      </c>
    </row>
    <row r="65" ht="15" customHeight="1">
      <c r="A65" s="30" t="inlineStr">
        <is>
          <t>4.3</t>
        </is>
      </c>
      <c r="B65" s="31">
        <f>WBS!C68</f>
        <v/>
      </c>
      <c r="C65" s="39">
        <f>WBS!D68</f>
        <v/>
      </c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X65" s="71">
        <f>WBS!G68</f>
        <v/>
      </c>
      <c r="AY65" s="71">
        <f>WBS!H68</f>
        <v/>
      </c>
      <c r="AZ65" s="30">
        <f>WBS!F68</f>
        <v/>
      </c>
    </row>
    <row r="66" ht="15" customHeight="1">
      <c r="A66" s="30" t="inlineStr">
        <is>
          <t>4.4</t>
        </is>
      </c>
      <c r="B66" s="31">
        <f>WBS!C69</f>
        <v/>
      </c>
      <c r="C66" s="39">
        <f>WBS!D69</f>
        <v/>
      </c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X66" s="71">
        <f>WBS!G69</f>
        <v/>
      </c>
      <c r="AY66" s="71">
        <f>WBS!H69</f>
        <v/>
      </c>
      <c r="AZ66" s="30">
        <f>WBS!F69</f>
        <v/>
      </c>
    </row>
    <row r="67" ht="15" customHeight="1">
      <c r="A67" s="34" t="inlineStr">
        <is>
          <t>4.5</t>
        </is>
      </c>
      <c r="B67" s="31">
        <f>WBS!C70</f>
        <v/>
      </c>
      <c r="C67" s="39">
        <f>WBS!D70</f>
        <v/>
      </c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X67" s="71">
        <f>WBS!G70</f>
        <v/>
      </c>
      <c r="AY67" s="71">
        <f>WBS!H70</f>
        <v/>
      </c>
      <c r="AZ67" s="30">
        <f>WBS!F70</f>
        <v/>
      </c>
    </row>
    <row r="68" ht="15" customHeight="1">
      <c r="A68" s="27" t="inlineStr">
        <is>
          <t>4.6</t>
        </is>
      </c>
      <c r="B68" s="22">
        <f>WBS!C71</f>
        <v/>
      </c>
      <c r="C68" s="28">
        <f>WBS!D71</f>
        <v/>
      </c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X68" s="70">
        <f>WBS!G71</f>
        <v/>
      </c>
      <c r="AY68" s="70">
        <f>WBS!H71</f>
        <v/>
      </c>
      <c r="AZ68" s="26">
        <f>WBS!F71</f>
        <v/>
      </c>
    </row>
    <row r="69" ht="15" customHeight="1">
      <c r="A69" s="27" t="inlineStr">
        <is>
          <t>5.1</t>
        </is>
      </c>
      <c r="B69" s="22">
        <f>WBS!C73</f>
        <v/>
      </c>
      <c r="C69" s="35">
        <f>WBS!D73</f>
        <v/>
      </c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X69" s="70">
        <f>WBS!G73</f>
        <v/>
      </c>
      <c r="AY69" s="70">
        <f>WBS!H73</f>
        <v/>
      </c>
      <c r="AZ69" s="26">
        <f>WBS!F73</f>
        <v/>
      </c>
    </row>
    <row r="70" ht="15" customHeight="1">
      <c r="A70" s="21" t="inlineStr">
        <is>
          <t>5.2</t>
        </is>
      </c>
      <c r="B70" s="22">
        <f>WBS!C74</f>
        <v/>
      </c>
      <c r="C70" s="28">
        <f>WBS!D74</f>
        <v/>
      </c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X70" s="70">
        <f>WBS!G74</f>
        <v/>
      </c>
      <c r="AY70" s="70">
        <f>WBS!H74</f>
        <v/>
      </c>
      <c r="AZ70" s="26">
        <f>WBS!F74</f>
        <v/>
      </c>
    </row>
    <row r="71" ht="15" customHeight="1">
      <c r="A71" s="34" t="inlineStr">
        <is>
          <t>5.3</t>
        </is>
      </c>
      <c r="B71" s="31">
        <f>WBS!C75</f>
        <v/>
      </c>
      <c r="C71" s="38">
        <f>WBS!D75</f>
        <v/>
      </c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X71" s="71">
        <f>WBS!G75</f>
        <v/>
      </c>
      <c r="AY71" s="71">
        <f>WBS!H75</f>
        <v/>
      </c>
      <c r="AZ71" s="30">
        <f>WBS!F75</f>
        <v/>
      </c>
    </row>
    <row r="72" ht="15" customHeight="1">
      <c r="A72" s="30" t="inlineStr">
        <is>
          <t>5.4</t>
        </is>
      </c>
      <c r="B72" s="31">
        <f>WBS!C76</f>
        <v/>
      </c>
      <c r="C72" s="38">
        <f>WBS!D76</f>
        <v/>
      </c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X72" s="71">
        <f>WBS!G76</f>
        <v/>
      </c>
      <c r="AY72" s="71">
        <f>WBS!H76</f>
        <v/>
      </c>
      <c r="AZ72" s="30">
        <f>WBS!F76</f>
        <v/>
      </c>
    </row>
    <row r="73" ht="15" customHeight="1">
      <c r="A73" s="34" t="inlineStr">
        <is>
          <t>5.5</t>
        </is>
      </c>
      <c r="B73" s="31">
        <f>WBS!C77</f>
        <v/>
      </c>
      <c r="C73" s="38">
        <f>WBS!D77</f>
        <v/>
      </c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X73" s="71">
        <f>WBS!G77</f>
        <v/>
      </c>
      <c r="AY73" s="71">
        <f>WBS!H77</f>
        <v/>
      </c>
      <c r="AZ73" s="30">
        <f>WBS!F77</f>
        <v/>
      </c>
    </row>
    <row r="74" ht="15" customHeight="1">
      <c r="A74" s="27" t="inlineStr">
        <is>
          <t>5.6</t>
        </is>
      </c>
      <c r="B74" s="22">
        <f>WBS!C78</f>
        <v/>
      </c>
      <c r="C74" s="23">
        <f>WBS!D78</f>
        <v/>
      </c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X74" s="70">
        <f>WBS!G78</f>
        <v/>
      </c>
      <c r="AY74" s="70">
        <f>WBS!H78</f>
        <v/>
      </c>
      <c r="AZ74" s="26">
        <f>WBS!F78</f>
        <v/>
      </c>
    </row>
    <row r="75" ht="15" customHeight="1">
      <c r="A75" s="21" t="inlineStr">
        <is>
          <t>5.7</t>
        </is>
      </c>
      <c r="B75" s="22">
        <f>WBS!C79</f>
        <v/>
      </c>
      <c r="C75" s="23">
        <f>WBS!D79</f>
        <v/>
      </c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X75" s="70">
        <f>WBS!G79</f>
        <v/>
      </c>
      <c r="AY75" s="70">
        <f>WBS!H79</f>
        <v/>
      </c>
      <c r="AZ75" s="26">
        <f>WBS!F79</f>
        <v/>
      </c>
    </row>
    <row r="76" ht="15" customHeight="1">
      <c r="A76" s="21" t="inlineStr">
        <is>
          <t>5.8</t>
        </is>
      </c>
      <c r="B76" s="22">
        <f>WBS!C80</f>
        <v/>
      </c>
      <c r="C76" s="28">
        <f>WBS!D80</f>
        <v/>
      </c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X76" s="70">
        <f>WBS!G80</f>
        <v/>
      </c>
      <c r="AY76" s="70">
        <f>WBS!H80</f>
        <v/>
      </c>
      <c r="AZ76" s="26">
        <f>WBS!F80</f>
        <v/>
      </c>
    </row>
    <row r="77" ht="15" customHeight="1">
      <c r="A77" s="21" t="inlineStr">
        <is>
          <t>5.9</t>
        </is>
      </c>
      <c r="B77" s="22">
        <f>WBS!C81</f>
        <v/>
      </c>
      <c r="C77" s="28">
        <f>WBS!D81</f>
        <v/>
      </c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X77" s="70">
        <f>WBS!G81</f>
        <v/>
      </c>
      <c r="AY77" s="70">
        <f>WBS!H81</f>
        <v/>
      </c>
      <c r="AZ77" s="26">
        <f>WBS!F81</f>
        <v/>
      </c>
    </row>
    <row r="78" ht="15" customHeight="1">
      <c r="A78" s="27" t="inlineStr">
        <is>
          <t>5.10</t>
        </is>
      </c>
      <c r="B78" s="22">
        <f>WBS!C82</f>
        <v/>
      </c>
      <c r="C78" s="28">
        <f>WBS!D82</f>
        <v/>
      </c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X78" s="70">
        <f>WBS!G82</f>
        <v/>
      </c>
      <c r="AY78" s="70">
        <f>WBS!H82</f>
        <v/>
      </c>
      <c r="AZ78" s="26">
        <f>WBS!F82</f>
        <v/>
      </c>
    </row>
    <row r="79" ht="15" customHeight="1">
      <c r="A79" s="27" t="inlineStr">
        <is>
          <t>5.11</t>
        </is>
      </c>
      <c r="B79" s="22">
        <f>WBS!C83</f>
        <v/>
      </c>
      <c r="C79" s="23">
        <f>WBS!D83</f>
        <v/>
      </c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  <c r="W79" s="24" t="n"/>
      <c r="X79" s="24" t="n"/>
      <c r="Y79" s="24" t="n"/>
      <c r="Z79" s="24" t="n"/>
      <c r="AA79" s="24" t="n"/>
      <c r="AB79" s="24" t="n"/>
      <c r="AC79" s="24" t="n"/>
      <c r="AD79" s="24" t="n"/>
      <c r="AE79" s="24" t="n"/>
      <c r="AF79" s="24" t="n"/>
      <c r="AG79" s="24" t="n"/>
      <c r="AH79" s="24" t="n"/>
      <c r="AI79" s="24" t="n"/>
      <c r="AJ79" s="24" t="n"/>
      <c r="AK79" s="24" t="n"/>
      <c r="AL79" s="24" t="n"/>
      <c r="AM79" s="24" t="n"/>
      <c r="AN79" s="24" t="n"/>
      <c r="AO79" s="24" t="n"/>
      <c r="AP79" s="24" t="n"/>
      <c r="AQ79" s="24" t="n"/>
      <c r="AR79" s="24" t="n"/>
      <c r="AS79" s="24" t="n"/>
      <c r="AT79" s="24" t="n"/>
      <c r="AU79" s="24" t="n"/>
      <c r="AV79" s="24" t="n"/>
      <c r="AX79" s="70">
        <f>WBS!G83</f>
        <v/>
      </c>
      <c r="AY79" s="70">
        <f>WBS!H83</f>
        <v/>
      </c>
      <c r="AZ79" s="26">
        <f>WBS!F83</f>
        <v/>
      </c>
    </row>
    <row r="80" ht="15" customHeight="1">
      <c r="A80" s="21" t="inlineStr">
        <is>
          <t>5.12</t>
        </is>
      </c>
      <c r="B80" s="22">
        <f>WBS!C84</f>
        <v/>
      </c>
      <c r="C80" s="23">
        <f>WBS!D84</f>
        <v/>
      </c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R80" s="24" t="n"/>
      <c r="S80" s="24" t="n"/>
      <c r="T80" s="24" t="n"/>
      <c r="U80" s="24" t="n"/>
      <c r="V80" s="24" t="n"/>
      <c r="W80" s="24" t="n"/>
      <c r="X80" s="24" t="n"/>
      <c r="Y80" s="24" t="n"/>
      <c r="Z80" s="24" t="n"/>
      <c r="AA80" s="24" t="n"/>
      <c r="AB80" s="24" t="n"/>
      <c r="AC80" s="24" t="n"/>
      <c r="AD80" s="24" t="n"/>
      <c r="AE80" s="24" t="n"/>
      <c r="AF80" s="24" t="n"/>
      <c r="AG80" s="24" t="n"/>
      <c r="AH80" s="24" t="n"/>
      <c r="AI80" s="24" t="n"/>
      <c r="AJ80" s="24" t="n"/>
      <c r="AK80" s="24" t="n"/>
      <c r="AL80" s="24" t="n"/>
      <c r="AM80" s="24" t="n"/>
      <c r="AN80" s="24" t="n"/>
      <c r="AO80" s="24" t="n"/>
      <c r="AP80" s="24" t="n"/>
      <c r="AQ80" s="24" t="n"/>
      <c r="AR80" s="24" t="n"/>
      <c r="AS80" s="24" t="n"/>
      <c r="AT80" s="24" t="n"/>
      <c r="AU80" s="24" t="n"/>
      <c r="AV80" s="24" t="n"/>
      <c r="AX80" s="70">
        <f>WBS!G84</f>
        <v/>
      </c>
      <c r="AY80" s="70">
        <f>WBS!H84</f>
        <v/>
      </c>
      <c r="AZ80" s="26">
        <f>WBS!F84</f>
        <v/>
      </c>
    </row>
    <row r="81" ht="15" customHeight="1">
      <c r="A81" s="27" t="inlineStr">
        <is>
          <t>5.13</t>
        </is>
      </c>
      <c r="B81" s="22">
        <f>WBS!C85</f>
        <v/>
      </c>
      <c r="C81" s="23">
        <f>WBS!D85</f>
        <v/>
      </c>
      <c r="D81" s="24" t="n"/>
      <c r="E81" s="24" t="n"/>
      <c r="F81" s="24" t="n"/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R81" s="24" t="n"/>
      <c r="S81" s="24" t="n"/>
      <c r="T81" s="24" t="n"/>
      <c r="U81" s="24" t="n"/>
      <c r="V81" s="24" t="n"/>
      <c r="W81" s="24" t="n"/>
      <c r="X81" s="24" t="n"/>
      <c r="Y81" s="24" t="n"/>
      <c r="Z81" s="24" t="n"/>
      <c r="AA81" s="24" t="n"/>
      <c r="AB81" s="24" t="n"/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X81" s="70">
        <f>WBS!G85</f>
        <v/>
      </c>
      <c r="AY81" s="70">
        <f>WBS!H85</f>
        <v/>
      </c>
      <c r="AZ81" s="26">
        <f>WBS!F85</f>
        <v/>
      </c>
    </row>
    <row r="82" ht="15" customHeight="1">
      <c r="A82" s="27" t="inlineStr">
        <is>
          <t>5.14</t>
        </is>
      </c>
      <c r="B82" s="22">
        <f>WBS!C86</f>
        <v/>
      </c>
      <c r="C82" s="23">
        <f>WBS!D86</f>
        <v/>
      </c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R82" s="24" t="n"/>
      <c r="S82" s="24" t="n"/>
      <c r="T82" s="24" t="n"/>
      <c r="U82" s="24" t="n"/>
      <c r="V82" s="24" t="n"/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X82" s="70">
        <f>WBS!G86</f>
        <v/>
      </c>
      <c r="AY82" s="70">
        <f>WBS!H86</f>
        <v/>
      </c>
      <c r="AZ82" s="26">
        <f>WBS!F86</f>
        <v/>
      </c>
    </row>
    <row r="83" ht="15" customHeight="1">
      <c r="A83" s="27" t="inlineStr">
        <is>
          <t>5.15</t>
        </is>
      </c>
      <c r="B83" s="22">
        <f>WBS!C87</f>
        <v/>
      </c>
      <c r="C83" s="23">
        <f>WBS!D87</f>
        <v/>
      </c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X83" s="70">
        <f>WBS!G87</f>
        <v/>
      </c>
      <c r="AY83" s="70">
        <f>WBS!H87</f>
        <v/>
      </c>
      <c r="AZ83" s="26">
        <f>WBS!F87</f>
        <v/>
      </c>
    </row>
    <row r="84" ht="15" customHeight="1">
      <c r="A84" s="27" t="inlineStr">
        <is>
          <t>5.16</t>
        </is>
      </c>
      <c r="B84" s="22">
        <f>WBS!C88</f>
        <v/>
      </c>
      <c r="C84" s="23">
        <f>WBS!D88</f>
        <v/>
      </c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R84" s="24" t="n"/>
      <c r="S84" s="24" t="n"/>
      <c r="T84" s="24" t="n"/>
      <c r="U84" s="24" t="n"/>
      <c r="V84" s="24" t="n"/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X84" s="70">
        <f>WBS!G88</f>
        <v/>
      </c>
      <c r="AY84" s="70">
        <f>WBS!H88</f>
        <v/>
      </c>
      <c r="AZ84" s="26">
        <f>WBS!F88</f>
        <v/>
      </c>
    </row>
    <row r="85" ht="15" customHeight="1">
      <c r="A85" s="27" t="inlineStr">
        <is>
          <t>6.1</t>
        </is>
      </c>
      <c r="B85" s="22">
        <f>WBS!C90</f>
        <v/>
      </c>
      <c r="C85" s="23">
        <f>WBS!D90</f>
        <v/>
      </c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  <c r="Q85" s="24" t="n"/>
      <c r="R85" s="24" t="n"/>
      <c r="S85" s="24" t="n"/>
      <c r="T85" s="24" t="n"/>
      <c r="U85" s="24" t="n"/>
      <c r="V85" s="24" t="n"/>
      <c r="W85" s="24" t="n"/>
      <c r="X85" s="24" t="n"/>
      <c r="Y85" s="24" t="n"/>
      <c r="Z85" s="24" t="n"/>
      <c r="AA85" s="24" t="n"/>
      <c r="AB85" s="24" t="n"/>
      <c r="AC85" s="24" t="n"/>
      <c r="AD85" s="24" t="n"/>
      <c r="AE85" s="24" t="n"/>
      <c r="AF85" s="24" t="n"/>
      <c r="AG85" s="24" t="n"/>
      <c r="AH85" s="24" t="n"/>
      <c r="AI85" s="24" t="n"/>
      <c r="AJ85" s="24" t="n"/>
      <c r="AK85" s="24" t="n"/>
      <c r="AL85" s="24" t="n"/>
      <c r="AM85" s="24" t="n"/>
      <c r="AN85" s="24" t="n"/>
      <c r="AO85" s="24" t="n"/>
      <c r="AP85" s="24" t="n"/>
      <c r="AQ85" s="24" t="n"/>
      <c r="AR85" s="24" t="n"/>
      <c r="AS85" s="24" t="n"/>
      <c r="AT85" s="24" t="n"/>
      <c r="AU85" s="24" t="n"/>
      <c r="AV85" s="24" t="n"/>
      <c r="AX85" s="70">
        <f>WBS!G90</f>
        <v/>
      </c>
      <c r="AY85" s="70">
        <f>WBS!H90</f>
        <v/>
      </c>
      <c r="AZ85" s="26">
        <f>WBS!F90</f>
        <v/>
      </c>
    </row>
    <row r="86" ht="15" customHeight="1">
      <c r="A86" s="27" t="inlineStr">
        <is>
          <t>6.2</t>
        </is>
      </c>
      <c r="B86" s="22">
        <f>WBS!C91</f>
        <v/>
      </c>
      <c r="C86" s="23">
        <f>WBS!D91</f>
        <v/>
      </c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R86" s="24" t="n"/>
      <c r="S86" s="24" t="n"/>
      <c r="T86" s="24" t="n"/>
      <c r="U86" s="24" t="n"/>
      <c r="V86" s="24" t="n"/>
      <c r="W86" s="24" t="n"/>
      <c r="X86" s="24" t="n"/>
      <c r="Y86" s="24" t="n"/>
      <c r="Z86" s="24" t="n"/>
      <c r="AA86" s="24" t="n"/>
      <c r="AB86" s="24" t="n"/>
      <c r="AC86" s="24" t="n"/>
      <c r="AD86" s="24" t="n"/>
      <c r="AE86" s="24" t="n"/>
      <c r="AF86" s="24" t="n"/>
      <c r="AG86" s="24" t="n"/>
      <c r="AH86" s="24" t="n"/>
      <c r="AI86" s="24" t="n"/>
      <c r="AJ86" s="24" t="n"/>
      <c r="AK86" s="24" t="n"/>
      <c r="AL86" s="24" t="n"/>
      <c r="AM86" s="24" t="n"/>
      <c r="AN86" s="24" t="n"/>
      <c r="AO86" s="24" t="n"/>
      <c r="AP86" s="24" t="n"/>
      <c r="AQ86" s="24" t="n"/>
      <c r="AR86" s="24" t="n"/>
      <c r="AS86" s="24" t="n"/>
      <c r="AT86" s="24" t="n"/>
      <c r="AU86" s="24" t="n"/>
      <c r="AV86" s="24" t="n"/>
      <c r="AX86" s="70">
        <f>WBS!G91</f>
        <v/>
      </c>
      <c r="AY86" s="70">
        <f>WBS!H91</f>
        <v/>
      </c>
      <c r="AZ86" s="26">
        <f>WBS!F91</f>
        <v/>
      </c>
    </row>
    <row r="87" ht="15" customHeight="1">
      <c r="A87" s="27" t="inlineStr">
        <is>
          <t>6.3</t>
        </is>
      </c>
      <c r="B87" s="22">
        <f>WBS!C92</f>
        <v/>
      </c>
      <c r="C87" s="23">
        <f>WBS!D92</f>
        <v/>
      </c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  <c r="W87" s="24" t="n"/>
      <c r="X87" s="24" t="n"/>
      <c r="Y87" s="24" t="n"/>
      <c r="Z87" s="24" t="n"/>
      <c r="AA87" s="24" t="n"/>
      <c r="AB87" s="24" t="n"/>
      <c r="AC87" s="24" t="n"/>
      <c r="AD87" s="24" t="n"/>
      <c r="AE87" s="24" t="n"/>
      <c r="AF87" s="24" t="n"/>
      <c r="AG87" s="24" t="n"/>
      <c r="AH87" s="24" t="n"/>
      <c r="AI87" s="24" t="n"/>
      <c r="AJ87" s="24" t="n"/>
      <c r="AK87" s="24" t="n"/>
      <c r="AL87" s="24" t="n"/>
      <c r="AM87" s="24" t="n"/>
      <c r="AN87" s="24" t="n"/>
      <c r="AO87" s="24" t="n"/>
      <c r="AP87" s="24" t="n"/>
      <c r="AQ87" s="24" t="n"/>
      <c r="AR87" s="24" t="n"/>
      <c r="AS87" s="24" t="n"/>
      <c r="AT87" s="24" t="n"/>
      <c r="AU87" s="24" t="n"/>
      <c r="AV87" s="24" t="n"/>
      <c r="AX87" s="70">
        <f>WBS!G92</f>
        <v/>
      </c>
      <c r="AY87" s="70">
        <f>WBS!H92</f>
        <v/>
      </c>
      <c r="AZ87" s="26">
        <f>WBS!F92</f>
        <v/>
      </c>
    </row>
    <row r="88" ht="15" customHeight="1">
      <c r="A88" s="27" t="n"/>
      <c r="B88" s="22" t="n"/>
      <c r="C88" s="23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R88" s="24" t="n"/>
      <c r="S88" s="24" t="n"/>
      <c r="T88" s="24" t="n"/>
      <c r="U88" s="24" t="n"/>
      <c r="V88" s="24" t="n"/>
      <c r="W88" s="24" t="n"/>
      <c r="X88" s="24" t="n"/>
      <c r="Y88" s="24" t="n"/>
      <c r="Z88" s="24" t="n"/>
      <c r="AA88" s="24" t="n"/>
      <c r="AB88" s="24" t="n"/>
      <c r="AC88" s="24" t="n"/>
      <c r="AD88" s="24" t="n"/>
      <c r="AE88" s="24" t="n"/>
      <c r="AF88" s="24" t="n"/>
      <c r="AG88" s="24" t="n"/>
      <c r="AH88" s="24" t="n"/>
      <c r="AI88" s="24" t="n"/>
      <c r="AJ88" s="24" t="n"/>
      <c r="AK88" s="24" t="n"/>
      <c r="AL88" s="24" t="n"/>
      <c r="AM88" s="24" t="n"/>
      <c r="AN88" s="24" t="n"/>
      <c r="AO88" s="24" t="n"/>
      <c r="AP88" s="24" t="n"/>
      <c r="AQ88" s="24" t="n"/>
      <c r="AR88" s="24" t="n"/>
      <c r="AS88" s="24" t="n"/>
      <c r="AT88" s="24" t="n"/>
      <c r="AU88" s="24" t="n"/>
      <c r="AV88" s="24" t="n"/>
      <c r="AX88" s="70" t="n"/>
      <c r="AY88" s="70" t="n"/>
      <c r="AZ88" s="26" t="n"/>
    </row>
    <row r="89" ht="15" customHeight="1">
      <c r="A89" s="27" t="n"/>
      <c r="B89" s="22" t="n"/>
      <c r="C89" s="23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24" t="n"/>
      <c r="S89" s="24" t="n"/>
      <c r="T89" s="24" t="n"/>
      <c r="U89" s="24" t="n"/>
      <c r="V89" s="24" t="n"/>
      <c r="W89" s="24" t="n"/>
      <c r="X89" s="24" t="n"/>
      <c r="Y89" s="24" t="n"/>
      <c r="Z89" s="24" t="n"/>
      <c r="AA89" s="24" t="n"/>
      <c r="AB89" s="24" t="n"/>
      <c r="AC89" s="24" t="n"/>
      <c r="AD89" s="24" t="n"/>
      <c r="AE89" s="24" t="n"/>
      <c r="AF89" s="24" t="n"/>
      <c r="AG89" s="24" t="n"/>
      <c r="AH89" s="24" t="n"/>
      <c r="AI89" s="24" t="n"/>
      <c r="AJ89" s="24" t="n"/>
      <c r="AK89" s="24" t="n"/>
      <c r="AL89" s="24" t="n"/>
      <c r="AM89" s="24" t="n"/>
      <c r="AN89" s="24" t="n"/>
      <c r="AO89" s="24" t="n"/>
      <c r="AP89" s="24" t="n"/>
      <c r="AQ89" s="24" t="n"/>
      <c r="AR89" s="24" t="n"/>
      <c r="AS89" s="24" t="n"/>
      <c r="AT89" s="24" t="n"/>
      <c r="AU89" s="24" t="n"/>
      <c r="AV89" s="24" t="n"/>
      <c r="AX89" s="70" t="n"/>
      <c r="AY89" s="70" t="n"/>
      <c r="AZ89" s="26" t="n"/>
    </row>
    <row r="90" ht="15" customHeight="1">
      <c r="A90" s="27" t="n"/>
      <c r="B90" s="22" t="n"/>
      <c r="C90" s="23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  <c r="Q90" s="24" t="n"/>
      <c r="R90" s="24" t="n"/>
      <c r="S90" s="24" t="n"/>
      <c r="T90" s="24" t="n"/>
      <c r="U90" s="24" t="n"/>
      <c r="V90" s="24" t="n"/>
      <c r="W90" s="24" t="n"/>
      <c r="X90" s="24" t="n"/>
      <c r="Y90" s="24" t="n"/>
      <c r="Z90" s="24" t="n"/>
      <c r="AA90" s="24" t="n"/>
      <c r="AB90" s="24" t="n"/>
      <c r="AC90" s="24" t="n"/>
      <c r="AD90" s="24" t="n"/>
      <c r="AE90" s="24" t="n"/>
      <c r="AF90" s="24" t="n"/>
      <c r="AG90" s="24" t="n"/>
      <c r="AH90" s="24" t="n"/>
      <c r="AI90" s="24" t="n"/>
      <c r="AJ90" s="24" t="n"/>
      <c r="AK90" s="24" t="n"/>
      <c r="AL90" s="24" t="n"/>
      <c r="AM90" s="24" t="n"/>
      <c r="AN90" s="24" t="n"/>
      <c r="AO90" s="24" t="n"/>
      <c r="AP90" s="24" t="n"/>
      <c r="AQ90" s="24" t="n"/>
      <c r="AR90" s="24" t="n"/>
      <c r="AS90" s="24" t="n"/>
      <c r="AT90" s="24" t="n"/>
      <c r="AU90" s="24" t="n"/>
      <c r="AV90" s="24" t="n"/>
      <c r="AX90" s="70" t="n"/>
      <c r="AY90" s="70" t="n"/>
      <c r="AZ90" s="26" t="n"/>
    </row>
    <row r="91" ht="15" customHeight="1">
      <c r="A91" s="27" t="n"/>
      <c r="B91" s="22" t="n"/>
      <c r="C91" s="23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  <c r="Q91" s="24" t="n"/>
      <c r="R91" s="24" t="n"/>
      <c r="S91" s="24" t="n"/>
      <c r="T91" s="24" t="n"/>
      <c r="U91" s="24" t="n"/>
      <c r="V91" s="24" t="n"/>
      <c r="W91" s="24" t="n"/>
      <c r="X91" s="24" t="n"/>
      <c r="Y91" s="24" t="n"/>
      <c r="Z91" s="24" t="n"/>
      <c r="AA91" s="24" t="n"/>
      <c r="AB91" s="24" t="n"/>
      <c r="AC91" s="24" t="n"/>
      <c r="AD91" s="24" t="n"/>
      <c r="AE91" s="24" t="n"/>
      <c r="AF91" s="24" t="n"/>
      <c r="AG91" s="24" t="n"/>
      <c r="AH91" s="24" t="n"/>
      <c r="AI91" s="24" t="n"/>
      <c r="AJ91" s="24" t="n"/>
      <c r="AK91" s="24" t="n"/>
      <c r="AL91" s="24" t="n"/>
      <c r="AM91" s="24" t="n"/>
      <c r="AN91" s="24" t="n"/>
      <c r="AO91" s="24" t="n"/>
      <c r="AP91" s="24" t="n"/>
      <c r="AQ91" s="24" t="n"/>
      <c r="AR91" s="24" t="n"/>
      <c r="AS91" s="24" t="n"/>
      <c r="AT91" s="24" t="n"/>
      <c r="AU91" s="24" t="n"/>
      <c r="AV91" s="24" t="n"/>
      <c r="AX91" s="70" t="n"/>
      <c r="AY91" s="70" t="n"/>
      <c r="AZ91" s="26" t="n"/>
    </row>
    <row r="92" ht="15" customHeight="1">
      <c r="A92" s="27" t="n"/>
      <c r="B92" s="22" t="n"/>
      <c r="C92" s="23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  <c r="Q92" s="24" t="n"/>
      <c r="R92" s="24" t="n"/>
      <c r="S92" s="24" t="n"/>
      <c r="T92" s="24" t="n"/>
      <c r="U92" s="24" t="n"/>
      <c r="V92" s="24" t="n"/>
      <c r="W92" s="24" t="n"/>
      <c r="X92" s="24" t="n"/>
      <c r="Y92" s="24" t="n"/>
      <c r="Z92" s="24" t="n"/>
      <c r="AA92" s="24" t="n"/>
      <c r="AB92" s="24" t="n"/>
      <c r="AC92" s="24" t="n"/>
      <c r="AD92" s="24" t="n"/>
      <c r="AE92" s="24" t="n"/>
      <c r="AF92" s="24" t="n"/>
      <c r="AG92" s="24" t="n"/>
      <c r="AH92" s="24" t="n"/>
      <c r="AI92" s="24" t="n"/>
      <c r="AJ92" s="24" t="n"/>
      <c r="AK92" s="24" t="n"/>
      <c r="AL92" s="24" t="n"/>
      <c r="AM92" s="24" t="n"/>
      <c r="AN92" s="24" t="n"/>
      <c r="AO92" s="24" t="n"/>
      <c r="AP92" s="24" t="n"/>
      <c r="AQ92" s="24" t="n"/>
      <c r="AR92" s="24" t="n"/>
      <c r="AS92" s="24" t="n"/>
      <c r="AT92" s="24" t="n"/>
      <c r="AU92" s="24" t="n"/>
      <c r="AV92" s="24" t="n"/>
      <c r="AX92" s="70" t="n"/>
      <c r="AY92" s="70" t="n"/>
      <c r="AZ92" s="26" t="n"/>
    </row>
    <row r="93" ht="15" customHeight="1">
      <c r="A93" s="27" t="n"/>
      <c r="B93" s="22" t="n"/>
      <c r="C93" s="23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  <c r="Q93" s="24" t="n"/>
      <c r="R93" s="24" t="n"/>
      <c r="S93" s="24" t="n"/>
      <c r="T93" s="24" t="n"/>
      <c r="U93" s="24" t="n"/>
      <c r="V93" s="24" t="n"/>
      <c r="W93" s="24" t="n"/>
      <c r="X93" s="24" t="n"/>
      <c r="Y93" s="24" t="n"/>
      <c r="Z93" s="24" t="n"/>
      <c r="AA93" s="24" t="n"/>
      <c r="AB93" s="24" t="n"/>
      <c r="AC93" s="24" t="n"/>
      <c r="AD93" s="24" t="n"/>
      <c r="AE93" s="24" t="n"/>
      <c r="AF93" s="24" t="n"/>
      <c r="AG93" s="24" t="n"/>
      <c r="AH93" s="24" t="n"/>
      <c r="AI93" s="24" t="n"/>
      <c r="AJ93" s="24" t="n"/>
      <c r="AK93" s="24" t="n"/>
      <c r="AL93" s="24" t="n"/>
      <c r="AM93" s="24" t="n"/>
      <c r="AN93" s="24" t="n"/>
      <c r="AO93" s="24" t="n"/>
      <c r="AP93" s="24" t="n"/>
      <c r="AQ93" s="24" t="n"/>
      <c r="AR93" s="24" t="n"/>
      <c r="AS93" s="24" t="n"/>
      <c r="AT93" s="24" t="n"/>
      <c r="AU93" s="24" t="n"/>
      <c r="AV93" s="24" t="n"/>
      <c r="AX93" s="70" t="n"/>
      <c r="AY93" s="70" t="n"/>
      <c r="AZ93" s="26" t="n"/>
    </row>
    <row r="94" ht="15" customHeight="1">
      <c r="A94" s="27" t="n"/>
      <c r="B94" s="22" t="n"/>
      <c r="C94" s="23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  <c r="Q94" s="24" t="n"/>
      <c r="R94" s="24" t="n"/>
      <c r="S94" s="24" t="n"/>
      <c r="T94" s="24" t="n"/>
      <c r="U94" s="24" t="n"/>
      <c r="V94" s="24" t="n"/>
      <c r="W94" s="24" t="n"/>
      <c r="X94" s="24" t="n"/>
      <c r="Y94" s="24" t="n"/>
      <c r="Z94" s="24" t="n"/>
      <c r="AA94" s="24" t="n"/>
      <c r="AB94" s="24" t="n"/>
      <c r="AC94" s="24" t="n"/>
      <c r="AD94" s="24" t="n"/>
      <c r="AE94" s="24" t="n"/>
      <c r="AF94" s="24" t="n"/>
      <c r="AG94" s="24" t="n"/>
      <c r="AH94" s="24" t="n"/>
      <c r="AI94" s="24" t="n"/>
      <c r="AJ94" s="24" t="n"/>
      <c r="AK94" s="24" t="n"/>
      <c r="AL94" s="24" t="n"/>
      <c r="AM94" s="24" t="n"/>
      <c r="AN94" s="24" t="n"/>
      <c r="AO94" s="24" t="n"/>
      <c r="AP94" s="24" t="n"/>
      <c r="AQ94" s="24" t="n"/>
      <c r="AR94" s="24" t="n"/>
      <c r="AS94" s="24" t="n"/>
      <c r="AT94" s="24" t="n"/>
      <c r="AU94" s="24" t="n"/>
      <c r="AV94" s="24" t="n"/>
      <c r="AX94" s="70" t="n"/>
      <c r="AY94" s="70" t="n"/>
      <c r="AZ94" s="26" t="n"/>
    </row>
    <row r="95" ht="15" customHeight="1">
      <c r="A95" s="27" t="n"/>
      <c r="B95" s="22" t="n"/>
      <c r="C95" s="23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  <c r="Q95" s="24" t="n"/>
      <c r="R95" s="24" t="n"/>
      <c r="S95" s="24" t="n"/>
      <c r="T95" s="24" t="n"/>
      <c r="U95" s="24" t="n"/>
      <c r="V95" s="24" t="n"/>
      <c r="W95" s="24" t="n"/>
      <c r="X95" s="24" t="n"/>
      <c r="Y95" s="24" t="n"/>
      <c r="Z95" s="24" t="n"/>
      <c r="AA95" s="24" t="n"/>
      <c r="AB95" s="24" t="n"/>
      <c r="AC95" s="24" t="n"/>
      <c r="AD95" s="24" t="n"/>
      <c r="AE95" s="24" t="n"/>
      <c r="AF95" s="24" t="n"/>
      <c r="AG95" s="24" t="n"/>
      <c r="AH95" s="24" t="n"/>
      <c r="AI95" s="24" t="n"/>
      <c r="AJ95" s="24" t="n"/>
      <c r="AK95" s="24" t="n"/>
      <c r="AL95" s="24" t="n"/>
      <c r="AM95" s="24" t="n"/>
      <c r="AN95" s="24" t="n"/>
      <c r="AO95" s="24" t="n"/>
      <c r="AP95" s="24" t="n"/>
      <c r="AQ95" s="24" t="n"/>
      <c r="AR95" s="24" t="n"/>
      <c r="AS95" s="24" t="n"/>
      <c r="AT95" s="24" t="n"/>
      <c r="AU95" s="24" t="n"/>
      <c r="AV95" s="24" t="n"/>
      <c r="AX95" s="70" t="n"/>
      <c r="AY95" s="70" t="n"/>
      <c r="AZ95" s="26" t="n"/>
    </row>
    <row r="96" ht="15" customHeight="1">
      <c r="A96" s="27" t="n"/>
      <c r="B96" s="22" t="n"/>
      <c r="C96" s="23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  <c r="Q96" s="24" t="n"/>
      <c r="R96" s="24" t="n"/>
      <c r="S96" s="24" t="n"/>
      <c r="T96" s="24" t="n"/>
      <c r="U96" s="24" t="n"/>
      <c r="V96" s="24" t="n"/>
      <c r="W96" s="24" t="n"/>
      <c r="X96" s="24" t="n"/>
      <c r="Y96" s="24" t="n"/>
      <c r="Z96" s="24" t="n"/>
      <c r="AA96" s="24" t="n"/>
      <c r="AB96" s="24" t="n"/>
      <c r="AC96" s="24" t="n"/>
      <c r="AD96" s="24" t="n"/>
      <c r="AE96" s="24" t="n"/>
      <c r="AF96" s="24" t="n"/>
      <c r="AG96" s="24" t="n"/>
      <c r="AH96" s="24" t="n"/>
      <c r="AI96" s="24" t="n"/>
      <c r="AJ96" s="24" t="n"/>
      <c r="AK96" s="24" t="n"/>
      <c r="AL96" s="24" t="n"/>
      <c r="AM96" s="24" t="n"/>
      <c r="AN96" s="24" t="n"/>
      <c r="AO96" s="24" t="n"/>
      <c r="AP96" s="24" t="n"/>
      <c r="AQ96" s="24" t="n"/>
      <c r="AR96" s="24" t="n"/>
      <c r="AS96" s="24" t="n"/>
      <c r="AT96" s="24" t="n"/>
      <c r="AU96" s="24" t="n"/>
      <c r="AV96" s="24" t="n"/>
      <c r="AX96" s="70" t="n"/>
      <c r="AY96" s="70" t="n"/>
      <c r="AZ96" s="26" t="n"/>
    </row>
    <row r="97" ht="15" customHeight="1">
      <c r="A97" s="27" t="n"/>
      <c r="B97" s="22" t="n"/>
      <c r="C97" s="23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  <c r="Q97" s="24" t="n"/>
      <c r="R97" s="24" t="n"/>
      <c r="S97" s="24" t="n"/>
      <c r="T97" s="24" t="n"/>
      <c r="U97" s="24" t="n"/>
      <c r="V97" s="24" t="n"/>
      <c r="W97" s="24" t="n"/>
      <c r="X97" s="24" t="n"/>
      <c r="Y97" s="24" t="n"/>
      <c r="Z97" s="24" t="n"/>
      <c r="AA97" s="24" t="n"/>
      <c r="AB97" s="24" t="n"/>
      <c r="AC97" s="24" t="n"/>
      <c r="AD97" s="24" t="n"/>
      <c r="AE97" s="24" t="n"/>
      <c r="AF97" s="24" t="n"/>
      <c r="AG97" s="24" t="n"/>
      <c r="AH97" s="24" t="n"/>
      <c r="AI97" s="24" t="n"/>
      <c r="AJ97" s="24" t="n"/>
      <c r="AK97" s="24" t="n"/>
      <c r="AL97" s="24" t="n"/>
      <c r="AM97" s="24" t="n"/>
      <c r="AN97" s="24" t="n"/>
      <c r="AO97" s="24" t="n"/>
      <c r="AP97" s="24" t="n"/>
      <c r="AQ97" s="24" t="n"/>
      <c r="AR97" s="24" t="n"/>
      <c r="AS97" s="24" t="n"/>
      <c r="AT97" s="24" t="n"/>
      <c r="AU97" s="24" t="n"/>
      <c r="AV97" s="24" t="n"/>
      <c r="AX97" s="70" t="n"/>
      <c r="AY97" s="70" t="n"/>
      <c r="AZ97" s="26" t="n"/>
    </row>
    <row r="98" ht="15" customHeight="1">
      <c r="A98" s="27" t="n"/>
      <c r="B98" s="22" t="n"/>
      <c r="C98" s="23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  <c r="Q98" s="24" t="n"/>
      <c r="R98" s="24" t="n"/>
      <c r="S98" s="24" t="n"/>
      <c r="T98" s="24" t="n"/>
      <c r="U98" s="24" t="n"/>
      <c r="V98" s="24" t="n"/>
      <c r="W98" s="24" t="n"/>
      <c r="X98" s="24" t="n"/>
      <c r="Y98" s="24" t="n"/>
      <c r="Z98" s="24" t="n"/>
      <c r="AA98" s="24" t="n"/>
      <c r="AB98" s="24" t="n"/>
      <c r="AC98" s="24" t="n"/>
      <c r="AD98" s="24" t="n"/>
      <c r="AE98" s="24" t="n"/>
      <c r="AF98" s="24" t="n"/>
      <c r="AG98" s="24" t="n"/>
      <c r="AH98" s="24" t="n"/>
      <c r="AI98" s="24" t="n"/>
      <c r="AJ98" s="24" t="n"/>
      <c r="AK98" s="24" t="n"/>
      <c r="AL98" s="24" t="n"/>
      <c r="AM98" s="24" t="n"/>
      <c r="AN98" s="24" t="n"/>
      <c r="AO98" s="24" t="n"/>
      <c r="AP98" s="24" t="n"/>
      <c r="AQ98" s="24" t="n"/>
      <c r="AR98" s="24" t="n"/>
      <c r="AS98" s="24" t="n"/>
      <c r="AT98" s="24" t="n"/>
      <c r="AU98" s="24" t="n"/>
      <c r="AV98" s="24" t="n"/>
      <c r="AX98" s="70" t="n"/>
      <c r="AY98" s="70" t="n"/>
      <c r="AZ98" s="26" t="n"/>
    </row>
    <row r="99" ht="15" customHeight="1">
      <c r="A99" s="21" t="n"/>
      <c r="B99" s="22" t="n"/>
      <c r="C99" s="23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  <c r="Q99" s="24" t="n"/>
      <c r="R99" s="24" t="n"/>
      <c r="S99" s="24" t="n"/>
      <c r="T99" s="24" t="n"/>
      <c r="U99" s="24" t="n"/>
      <c r="V99" s="24" t="n"/>
      <c r="W99" s="24" t="n"/>
      <c r="X99" s="24" t="n"/>
      <c r="Y99" s="24" t="n"/>
      <c r="Z99" s="24" t="n"/>
      <c r="AA99" s="24" t="n"/>
      <c r="AB99" s="24" t="n"/>
      <c r="AC99" s="24" t="n"/>
      <c r="AD99" s="24" t="n"/>
      <c r="AE99" s="24" t="n"/>
      <c r="AF99" s="24" t="n"/>
      <c r="AG99" s="24" t="n"/>
      <c r="AH99" s="24" t="n"/>
      <c r="AI99" s="24" t="n"/>
      <c r="AJ99" s="24" t="n"/>
      <c r="AK99" s="24" t="n"/>
      <c r="AL99" s="24" t="n"/>
      <c r="AM99" s="24" t="n"/>
      <c r="AN99" s="24" t="n"/>
      <c r="AO99" s="24" t="n"/>
      <c r="AP99" s="24" t="n"/>
      <c r="AQ99" s="24" t="n"/>
      <c r="AR99" s="24" t="n"/>
      <c r="AS99" s="24" t="n"/>
      <c r="AT99" s="24" t="n"/>
      <c r="AU99" s="24" t="n"/>
      <c r="AV99" s="24" t="n"/>
      <c r="AX99" s="70" t="n"/>
      <c r="AY99" s="70" t="n"/>
      <c r="AZ99" s="26" t="n"/>
    </row>
    <row r="100" ht="15" customHeight="1">
      <c r="A100" s="21" t="n"/>
      <c r="B100" s="22" t="n"/>
      <c r="C100" s="23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  <c r="Q100" s="24" t="n"/>
      <c r="R100" s="24" t="n"/>
      <c r="S100" s="24" t="n"/>
      <c r="T100" s="24" t="n"/>
      <c r="U100" s="24" t="n"/>
      <c r="V100" s="24" t="n"/>
      <c r="W100" s="24" t="n"/>
      <c r="X100" s="24" t="n"/>
      <c r="Y100" s="24" t="n"/>
      <c r="Z100" s="24" t="n"/>
      <c r="AA100" s="24" t="n"/>
      <c r="AB100" s="24" t="n"/>
      <c r="AC100" s="24" t="n"/>
      <c r="AD100" s="24" t="n"/>
      <c r="AE100" s="24" t="n"/>
      <c r="AF100" s="24" t="n"/>
      <c r="AG100" s="24" t="n"/>
      <c r="AH100" s="24" t="n"/>
      <c r="AI100" s="24" t="n"/>
      <c r="AJ100" s="24" t="n"/>
      <c r="AK100" s="24" t="n"/>
      <c r="AL100" s="24" t="n"/>
      <c r="AM100" s="24" t="n"/>
      <c r="AN100" s="24" t="n"/>
      <c r="AO100" s="24" t="n"/>
      <c r="AP100" s="24" t="n"/>
      <c r="AQ100" s="24" t="n"/>
      <c r="AR100" s="24" t="n"/>
      <c r="AS100" s="24" t="n"/>
      <c r="AT100" s="24" t="n"/>
      <c r="AU100" s="24" t="n"/>
      <c r="AV100" s="24" t="n"/>
      <c r="AX100" s="70" t="n"/>
      <c r="AY100" s="70" t="n"/>
      <c r="AZ100" s="26" t="n"/>
    </row>
    <row r="101" ht="15" customHeight="1">
      <c r="A101" s="21" t="n"/>
      <c r="B101" s="22" t="n"/>
      <c r="C101" s="23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  <c r="Q101" s="24" t="n"/>
      <c r="R101" s="24" t="n"/>
      <c r="S101" s="24" t="n"/>
      <c r="T101" s="24" t="n"/>
      <c r="U101" s="24" t="n"/>
      <c r="V101" s="24" t="n"/>
      <c r="W101" s="24" t="n"/>
      <c r="X101" s="24" t="n"/>
      <c r="Y101" s="24" t="n"/>
      <c r="Z101" s="24" t="n"/>
      <c r="AA101" s="24" t="n"/>
      <c r="AB101" s="24" t="n"/>
      <c r="AC101" s="24" t="n"/>
      <c r="AD101" s="24" t="n"/>
      <c r="AE101" s="24" t="n"/>
      <c r="AF101" s="24" t="n"/>
      <c r="AG101" s="24" t="n"/>
      <c r="AH101" s="24" t="n"/>
      <c r="AI101" s="24" t="n"/>
      <c r="AJ101" s="24" t="n"/>
      <c r="AK101" s="24" t="n"/>
      <c r="AL101" s="24" t="n"/>
      <c r="AM101" s="24" t="n"/>
      <c r="AN101" s="24" t="n"/>
      <c r="AO101" s="24" t="n"/>
      <c r="AP101" s="24" t="n"/>
      <c r="AQ101" s="24" t="n"/>
      <c r="AR101" s="24" t="n"/>
      <c r="AS101" s="24" t="n"/>
      <c r="AT101" s="24" t="n"/>
      <c r="AU101" s="24" t="n"/>
      <c r="AV101" s="24" t="n"/>
      <c r="AX101" s="70" t="n"/>
      <c r="AY101" s="70" t="n"/>
      <c r="AZ101" s="26" t="n"/>
    </row>
    <row r="103">
      <c r="A103" s="40" t="inlineStr">
        <is>
          <t>범례</t>
        </is>
      </c>
    </row>
    <row r="104">
      <c r="A104" s="41" t="inlineStr"/>
      <c r="B104" s="42" t="inlineStr">
        <is>
          <t>완료</t>
        </is>
      </c>
      <c r="C104" s="43" t="inlineStr"/>
      <c r="D104" s="42" t="inlineStr">
        <is>
          <t>진행중</t>
        </is>
      </c>
      <c r="E104" s="44" t="inlineStr"/>
      <c r="F104" s="42" t="inlineStr">
        <is>
          <t>미착수</t>
        </is>
      </c>
      <c r="G104" s="45" t="inlineStr"/>
      <c r="H104" s="42" t="inlineStr">
        <is>
          <t>지연</t>
        </is>
      </c>
      <c r="I104" s="46" t="inlineStr"/>
      <c r="J104" s="42" t="inlineStr">
        <is>
          <t>주말</t>
        </is>
      </c>
    </row>
    <row r="105">
      <c r="A105" s="2" t="inlineStr">
        <is>
          <t>★ (WBS ID 빨간 글씨) = 임계경로.  담당 · 날짜 · 상태는 WBS 시트 기준 자동 동기화됩니다.</t>
        </is>
      </c>
    </row>
  </sheetData>
  <conditionalFormatting sqref="D6:AV101">
    <cfRule type="expression" priority="1" dxfId="0">
      <formula>WEEKDAY(D$4,2)&gt;5</formula>
    </cfRule>
    <cfRule type="expression" priority="2" dxfId="1">
      <formula>AND($AX6&lt;&gt;"",D$4&gt;=$AX6,D$4&lt;=$AY6,$AZ6="완료")</formula>
    </cfRule>
    <cfRule type="expression" priority="3" dxfId="2">
      <formula>AND($AX6&lt;&gt;"",D$4&gt;=$AX6,D$4&lt;=$AY6,$AZ6="진행중")</formula>
    </cfRule>
    <cfRule type="expression" priority="4" dxfId="3">
      <formula>AND($AX6&lt;&gt;"",D$4&gt;=$AX6,D$4&lt;=$AY6,$AZ6="지연")</formula>
    </cfRule>
    <cfRule type="expression" priority="5" dxfId="4">
      <formula>AND($AX6&lt;&gt;"",D$4&gt;=$AX6,D$4&lt;=$AY6,$AZ6="미착수")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2" customWidth="1" min="3" max="3"/>
    <col width="7" customWidth="1" min="4" max="4"/>
    <col width="9" customWidth="1" min="5" max="5"/>
    <col width="9" customWidth="1" min="6" max="6"/>
    <col width="11" customWidth="1" min="7" max="7"/>
    <col width="11" customWidth="1" min="8" max="8"/>
    <col width="9" customWidth="1" min="9" max="9"/>
    <col width="24" customWidth="1" min="10" max="10"/>
    <col width="9" customWidth="1" min="11" max="11"/>
    <col width="6" customWidth="1" min="12" max="12"/>
  </cols>
  <sheetData>
    <row r="1">
      <c r="A1" s="1" t="inlineStr">
        <is>
          <t>2026 파이널 프로젝트 WBS v2.0 — OpsLoop (실시간 위협 탐지·대응 관제 플랫폼)</t>
        </is>
      </c>
    </row>
    <row r="2">
      <c r="A2" s="2" t="inlineStr">
        <is>
          <t>기간: 2026.09.02(수) ~ 10.16(금)  |  1인 프로젝트  |  2차 피드백 반영 개정 (2026.09.18)  |  매 주차 종료 시점 시연 가능 상태 유지</t>
        </is>
      </c>
    </row>
    <row r="4" ht="22" customHeight="1">
      <c r="A4" s="4" t="inlineStr">
        <is>
          <t>WBS ID</t>
        </is>
      </c>
      <c r="B4" s="4" t="inlineStr">
        <is>
          <t>구분</t>
        </is>
      </c>
      <c r="C4" s="4" t="inlineStr">
        <is>
          <t>작업명</t>
        </is>
      </c>
      <c r="D4" s="4" t="inlineStr">
        <is>
          <t>영역</t>
        </is>
      </c>
      <c r="E4" s="4" t="inlineStr">
        <is>
          <t>담당</t>
        </is>
      </c>
      <c r="F4" s="4" t="inlineStr">
        <is>
          <t>상태</t>
        </is>
      </c>
      <c r="G4" s="4" t="inlineStr">
        <is>
          <t>시작</t>
        </is>
      </c>
      <c r="H4" s="4" t="inlineStr">
        <is>
          <t>종료</t>
        </is>
      </c>
      <c r="I4" s="4" t="inlineStr">
        <is>
          <t>기간(일)</t>
        </is>
      </c>
      <c r="J4" s="4" t="inlineStr">
        <is>
          <t>산출물</t>
        </is>
      </c>
      <c r="K4" s="4" t="inlineStr">
        <is>
          <t>임계경로</t>
        </is>
      </c>
      <c r="L4" s="4" t="inlineStr">
        <is>
          <t>레벨</t>
        </is>
      </c>
    </row>
    <row r="5" ht="18" customHeight="1">
      <c r="A5" s="47" t="inlineStr">
        <is>
          <t>1.0</t>
        </is>
      </c>
      <c r="B5" s="47" t="inlineStr">
        <is>
          <t>기획</t>
        </is>
      </c>
      <c r="C5" s="48" t="inlineStr">
        <is>
          <t>[기획 단계]</t>
        </is>
      </c>
      <c r="D5" s="47" t="n"/>
      <c r="E5" s="47" t="n"/>
      <c r="F5" s="47" t="n"/>
      <c r="G5" s="47" t="n"/>
      <c r="H5" s="47" t="n"/>
      <c r="I5" s="47" t="n"/>
      <c r="J5" s="47" t="n"/>
      <c r="K5" s="47" t="n"/>
      <c r="L5" s="47" t="n">
        <v>0</v>
      </c>
    </row>
    <row r="6" ht="18" customHeight="1">
      <c r="A6" s="49" t="inlineStr">
        <is>
          <t>1.1</t>
        </is>
      </c>
      <c r="B6" s="50" t="inlineStr">
        <is>
          <t>기획</t>
        </is>
      </c>
      <c r="C6" s="51" t="inlineStr">
        <is>
          <t>주제 확정 및 1차 계획서 작성</t>
        </is>
      </c>
      <c r="D6" s="52" t="inlineStr">
        <is>
          <t>-</t>
        </is>
      </c>
      <c r="E6" s="50" t="inlineStr">
        <is>
          <t>한성민</t>
        </is>
      </c>
      <c r="F6" s="50" t="inlineStr">
        <is>
          <t>완료</t>
        </is>
      </c>
      <c r="G6" s="72" t="n">
        <v>46259</v>
      </c>
      <c r="H6" s="72" t="n">
        <v>46266</v>
      </c>
      <c r="I6" s="50">
        <f>IF(AND(G6&lt;&gt;"",H6&lt;&gt;""),H6-G6+1,"")</f>
        <v/>
      </c>
      <c r="J6" s="50" t="inlineStr">
        <is>
          <t>1차 계획서·요약 PPT</t>
        </is>
      </c>
      <c r="K6" s="50" t="inlineStr">
        <is>
          <t>★</t>
        </is>
      </c>
      <c r="L6" s="50" t="n">
        <v>1</v>
      </c>
    </row>
    <row r="7" ht="18" customHeight="1">
      <c r="A7" s="49" t="inlineStr">
        <is>
          <t>1.2</t>
        </is>
      </c>
      <c r="B7" s="50" t="inlineStr">
        <is>
          <t>기획</t>
        </is>
      </c>
      <c r="C7" s="51" t="inlineStr">
        <is>
          <t>요구사항 정의 · 우선순위 3계층 확정</t>
        </is>
      </c>
      <c r="D7" s="52" t="inlineStr">
        <is>
          <t>-</t>
        </is>
      </c>
      <c r="E7" s="50" t="inlineStr">
        <is>
          <t>한성민</t>
        </is>
      </c>
      <c r="F7" s="50" t="inlineStr">
        <is>
          <t>완료</t>
        </is>
      </c>
      <c r="G7" s="72" t="n">
        <v>46264</v>
      </c>
      <c r="H7" s="72" t="n">
        <v>46266</v>
      </c>
      <c r="I7" s="50">
        <f>IF(AND(G7&lt;&gt;"",H7&lt;&gt;""),H7-G7+1,"")</f>
        <v/>
      </c>
      <c r="J7" s="50" t="inlineStr">
        <is>
          <t>서비스 기능 정의서(초안)</t>
        </is>
      </c>
      <c r="K7" s="50" t="inlineStr">
        <is>
          <t>★</t>
        </is>
      </c>
      <c r="L7" s="50" t="n">
        <v>1</v>
      </c>
    </row>
    <row r="8" ht="18" customHeight="1">
      <c r="A8" s="49" t="inlineStr">
        <is>
          <t>1.3</t>
        </is>
      </c>
      <c r="B8" s="50" t="inlineStr">
        <is>
          <t>기획</t>
        </is>
      </c>
      <c r="C8" s="51" t="inlineStr">
        <is>
          <t>WBS v1.0 작성 및 산출물 체계 확정</t>
        </is>
      </c>
      <c r="D8" s="52" t="inlineStr">
        <is>
          <t>-</t>
        </is>
      </c>
      <c r="E8" s="50" t="inlineStr">
        <is>
          <t>한성민</t>
        </is>
      </c>
      <c r="F8" s="50" t="inlineStr">
        <is>
          <t>완료</t>
        </is>
      </c>
      <c r="G8" s="72" t="n">
        <v>46267</v>
      </c>
      <c r="H8" s="72" t="n">
        <v>46267</v>
      </c>
      <c r="I8" s="50">
        <f>IF(AND(G8&lt;&gt;"",H8&lt;&gt;""),H8-G8+1,"")</f>
        <v/>
      </c>
      <c r="J8" s="50" t="inlineStr">
        <is>
          <t>WBS</t>
        </is>
      </c>
      <c r="K8" s="50" t="inlineStr">
        <is>
          <t>★</t>
        </is>
      </c>
      <c r="L8" s="50" t="n">
        <v>1</v>
      </c>
    </row>
    <row r="9" ht="18" customHeight="1">
      <c r="A9" s="49" t="inlineStr">
        <is>
          <t>1.4</t>
        </is>
      </c>
      <c r="B9" s="50" t="inlineStr">
        <is>
          <t>기획</t>
        </is>
      </c>
      <c r="C9" s="51" t="inlineStr">
        <is>
          <t>프로젝트 요약서(4장) 작성 및 제출</t>
        </is>
      </c>
      <c r="D9" s="52" t="inlineStr">
        <is>
          <t>-</t>
        </is>
      </c>
      <c r="E9" s="50" t="inlineStr">
        <is>
          <t>한성민</t>
        </is>
      </c>
      <c r="F9" s="50" t="inlineStr">
        <is>
          <t>완료</t>
        </is>
      </c>
      <c r="G9" s="72" t="n">
        <v>46281</v>
      </c>
      <c r="H9" s="72" t="n">
        <v>46282</v>
      </c>
      <c r="I9" s="50">
        <f>IF(AND(G9&lt;&gt;"",H9&lt;&gt;""),H9-G9+1,"")</f>
        <v/>
      </c>
      <c r="J9" s="50" t="inlineStr">
        <is>
          <t>프로젝트 요약서</t>
        </is>
      </c>
      <c r="K9" s="50" t="inlineStr">
        <is>
          <t>★</t>
        </is>
      </c>
      <c r="L9" s="50" t="n">
        <v>1</v>
      </c>
    </row>
    <row r="10" ht="18" customHeight="1">
      <c r="A10" s="49" t="inlineStr">
        <is>
          <t>1.5</t>
        </is>
      </c>
      <c r="B10" s="50" t="inlineStr">
        <is>
          <t>기획</t>
        </is>
      </c>
      <c r="C10" s="51" t="inlineStr">
        <is>
          <t>2차 피드백 반영 방향 확정 (디코이 · 관문 방화벽 · 가상화)</t>
        </is>
      </c>
      <c r="D10" s="52" t="inlineStr">
        <is>
          <t>-</t>
        </is>
      </c>
      <c r="E10" s="50" t="inlineStr">
        <is>
          <t>한성민</t>
        </is>
      </c>
      <c r="F10" s="50" t="inlineStr">
        <is>
          <t>완료</t>
        </is>
      </c>
      <c r="G10" s="72" t="n">
        <v>46282</v>
      </c>
      <c r="H10" s="72" t="n">
        <v>46283</v>
      </c>
      <c r="I10" s="50">
        <f>IF(AND(G10&lt;&gt;"",H10&lt;&gt;""),H10-G10+1,"")</f>
        <v/>
      </c>
      <c r="J10" s="50" t="inlineStr">
        <is>
          <t>계획 개정 문서</t>
        </is>
      </c>
      <c r="K10" s="50" t="inlineStr">
        <is>
          <t>★</t>
        </is>
      </c>
      <c r="L10" s="50" t="n">
        <v>1</v>
      </c>
    </row>
    <row r="11" ht="18" customHeight="1">
      <c r="A11" s="49" t="inlineStr">
        <is>
          <t>1.6</t>
        </is>
      </c>
      <c r="B11" s="50" t="inlineStr">
        <is>
          <t>기획</t>
        </is>
      </c>
      <c r="C11" s="51" t="inlineStr">
        <is>
          <t>범위 재조정 — 삭제 · 연기 항목 확정 (WBS v2.0)</t>
        </is>
      </c>
      <c r="D11" s="52" t="inlineStr">
        <is>
          <t>-</t>
        </is>
      </c>
      <c r="E11" s="50" t="inlineStr">
        <is>
          <t>한성민</t>
        </is>
      </c>
      <c r="F11" s="50" t="inlineStr">
        <is>
          <t>진행중</t>
        </is>
      </c>
      <c r="G11" s="72" t="n">
        <v>46283</v>
      </c>
      <c r="H11" s="72" t="n">
        <v>46284</v>
      </c>
      <c r="I11" s="50">
        <f>IF(AND(G11&lt;&gt;"",H11&lt;&gt;""),H11-G11+1,"")</f>
        <v/>
      </c>
      <c r="J11" s="50" t="inlineStr">
        <is>
          <t>WBS v2.0</t>
        </is>
      </c>
      <c r="K11" s="50" t="inlineStr">
        <is>
          <t>★</t>
        </is>
      </c>
      <c r="L11" s="50" t="n">
        <v>1</v>
      </c>
    </row>
    <row r="12" ht="18" customHeight="1">
      <c r="A12" s="49" t="inlineStr">
        <is>
          <t>1.7</t>
        </is>
      </c>
      <c r="B12" s="50" t="inlineStr">
        <is>
          <t>기획</t>
        </is>
      </c>
      <c r="C12" s="51" t="inlineStr">
        <is>
          <t>상시 가동 서버 가용성 확인 → 전개 방식 확정</t>
        </is>
      </c>
      <c r="D12" s="55" t="inlineStr">
        <is>
          <t>A</t>
        </is>
      </c>
      <c r="E12" s="50" t="inlineStr">
        <is>
          <t>한성민</t>
        </is>
      </c>
      <c r="F12" s="50" t="inlineStr">
        <is>
          <t>미착수</t>
        </is>
      </c>
      <c r="G12" s="72" t="n">
        <v>46283</v>
      </c>
      <c r="H12" s="72" t="n">
        <v>46284</v>
      </c>
      <c r="I12" s="50">
        <f>IF(AND(G12&lt;&gt;"",H12&lt;&gt;""),H12-G12+1,"")</f>
        <v/>
      </c>
      <c r="J12" s="50" t="inlineStr">
        <is>
          <t>아키텍처 결정 기록</t>
        </is>
      </c>
      <c r="K12" s="50" t="inlineStr">
        <is>
          <t>★</t>
        </is>
      </c>
      <c r="L12" s="50" t="n">
        <v>1</v>
      </c>
    </row>
    <row r="13" ht="18" customHeight="1">
      <c r="A13" s="47" t="inlineStr">
        <is>
          <t>2.0</t>
        </is>
      </c>
      <c r="B13" s="47" t="inlineStr">
        <is>
          <t>설계</t>
        </is>
      </c>
      <c r="C13" s="48" t="inlineStr">
        <is>
          <t>[설계 단계]</t>
        </is>
      </c>
      <c r="D13" s="47" t="n"/>
      <c r="E13" s="47" t="n"/>
      <c r="F13" s="47" t="n"/>
      <c r="G13" s="47" t="n"/>
      <c r="H13" s="47" t="n"/>
      <c r="I13" s="47" t="n"/>
      <c r="J13" s="47" t="n"/>
      <c r="K13" s="47" t="n"/>
      <c r="L13" s="47" t="n">
        <v>0</v>
      </c>
    </row>
    <row r="14" ht="18" customHeight="1">
      <c r="A14" s="49" t="inlineStr">
        <is>
          <t>2.1</t>
        </is>
      </c>
      <c r="B14" s="50" t="inlineStr">
        <is>
          <t>설계</t>
        </is>
      </c>
      <c r="C14" s="51" t="inlineStr">
        <is>
          <t>공통 로그 스키마 확정 (전 파이프라인의 전제)</t>
        </is>
      </c>
      <c r="D14" s="56" t="inlineStr">
        <is>
          <t>B</t>
        </is>
      </c>
      <c r="E14" s="50" t="inlineStr">
        <is>
          <t>한성민</t>
        </is>
      </c>
      <c r="F14" s="50" t="inlineStr">
        <is>
          <t>완료</t>
        </is>
      </c>
      <c r="G14" s="72" t="n">
        <v>46268</v>
      </c>
      <c r="H14" s="72" t="n">
        <v>46270</v>
      </c>
      <c r="I14" s="50">
        <f>IF(AND(G14&lt;&gt;"",H14&lt;&gt;""),H14-G14+1,"")</f>
        <v/>
      </c>
      <c r="J14" s="50" t="inlineStr">
        <is>
          <t>API 스펙 문서</t>
        </is>
      </c>
      <c r="K14" s="50" t="inlineStr">
        <is>
          <t>★</t>
        </is>
      </c>
      <c r="L14" s="50" t="n">
        <v>1</v>
      </c>
    </row>
    <row r="15" ht="18" customHeight="1">
      <c r="A15" s="49" t="inlineStr">
        <is>
          <t>2.2</t>
        </is>
      </c>
      <c r="B15" s="50" t="inlineStr">
        <is>
          <t>설계</t>
        </is>
      </c>
      <c r="C15" s="51" t="inlineStr">
        <is>
          <t>데이터 모델링 (규칙 · 인시던트 · 판정 · 차단 · 노드)</t>
        </is>
      </c>
      <c r="D15" s="56" t="inlineStr">
        <is>
          <t>B</t>
        </is>
      </c>
      <c r="E15" s="50" t="inlineStr">
        <is>
          <t>한성민</t>
        </is>
      </c>
      <c r="F15" s="50" t="inlineStr">
        <is>
          <t>진행중</t>
        </is>
      </c>
      <c r="G15" s="72" t="n">
        <v>46269</v>
      </c>
      <c r="H15" s="72" t="n">
        <v>46285</v>
      </c>
      <c r="I15" s="50">
        <f>IF(AND(G15&lt;&gt;"",H15&lt;&gt;""),H15-G15+1,"")</f>
        <v/>
      </c>
      <c r="J15" s="50" t="inlineStr">
        <is>
          <t>테이블 정의서</t>
        </is>
      </c>
      <c r="K15" s="50" t="inlineStr">
        <is>
          <t>★</t>
        </is>
      </c>
      <c r="L15" s="50" t="n">
        <v>1</v>
      </c>
    </row>
    <row r="16" ht="18" customHeight="1">
      <c r="A16" s="49" t="inlineStr">
        <is>
          <t>2.3</t>
        </is>
      </c>
      <c r="B16" s="50" t="inlineStr">
        <is>
          <t>설계</t>
        </is>
      </c>
      <c r="C16" s="51" t="inlineStr">
        <is>
          <t>인시던트 판정 기준 확정 (실제위협·무시가능·오탐)</t>
        </is>
      </c>
      <c r="D16" s="61" t="inlineStr">
        <is>
          <t>D</t>
        </is>
      </c>
      <c r="E16" s="50" t="inlineStr">
        <is>
          <t>한성민</t>
        </is>
      </c>
      <c r="F16" s="50" t="inlineStr">
        <is>
          <t>완료</t>
        </is>
      </c>
      <c r="G16" s="72" t="n">
        <v>46270</v>
      </c>
      <c r="H16" s="72" t="n">
        <v>46271</v>
      </c>
      <c r="I16" s="50">
        <f>IF(AND(G16&lt;&gt;"",H16&lt;&gt;""),H16-G16+1,"")</f>
        <v/>
      </c>
      <c r="J16" s="50" t="inlineStr">
        <is>
          <t>판정 기준 문서</t>
        </is>
      </c>
      <c r="K16" s="50" t="inlineStr">
        <is>
          <t>★</t>
        </is>
      </c>
      <c r="L16" s="50" t="n">
        <v>1</v>
      </c>
    </row>
    <row r="17" ht="18" customHeight="1">
      <c r="A17" s="49" t="inlineStr">
        <is>
          <t>2.4</t>
        </is>
      </c>
      <c r="B17" s="50" t="inlineStr">
        <is>
          <t>설계</t>
        </is>
      </c>
      <c r="C17" s="51" t="inlineStr">
        <is>
          <t>탐지 평가 함수 인터페이스 설계 (규칙버전 · 시간구간 인자)</t>
        </is>
      </c>
      <c r="D17" s="56" t="inlineStr">
        <is>
          <t>B</t>
        </is>
      </c>
      <c r="E17" s="50" t="inlineStr">
        <is>
          <t>한성민</t>
        </is>
      </c>
      <c r="F17" s="50" t="inlineStr">
        <is>
          <t>완료</t>
        </is>
      </c>
      <c r="G17" s="72" t="n">
        <v>46271</v>
      </c>
      <c r="H17" s="72" t="n">
        <v>46272</v>
      </c>
      <c r="I17" s="50">
        <f>IF(AND(G17&lt;&gt;"",H17&lt;&gt;""),H17-G17+1,"")</f>
        <v/>
      </c>
      <c r="J17" s="50" t="inlineStr">
        <is>
          <t>프로그램 설계서</t>
        </is>
      </c>
      <c r="K17" s="50" t="inlineStr">
        <is>
          <t>★</t>
        </is>
      </c>
      <c r="L17" s="50" t="n">
        <v>1</v>
      </c>
    </row>
    <row r="18" ht="18" customHeight="1">
      <c r="A18" s="49" t="inlineStr">
        <is>
          <t>2.5</t>
        </is>
      </c>
      <c r="B18" s="50" t="inlineStr">
        <is>
          <t>설계</t>
        </is>
      </c>
      <c r="C18" s="51" t="inlineStr">
        <is>
          <t>하이브리드 네트워크 설계 (대역 · 경로 · 방화벽 규칙표)</t>
        </is>
      </c>
      <c r="D18" s="55" t="inlineStr">
        <is>
          <t>A</t>
        </is>
      </c>
      <c r="E18" s="50" t="inlineStr">
        <is>
          <t>한성민</t>
        </is>
      </c>
      <c r="F18" s="50" t="inlineStr">
        <is>
          <t>미착수</t>
        </is>
      </c>
      <c r="G18" s="72" t="n">
        <v>46283</v>
      </c>
      <c r="H18" s="72" t="n">
        <v>46285</v>
      </c>
      <c r="I18" s="50">
        <f>IF(AND(G18&lt;&gt;"",H18&lt;&gt;""),H18-G18+1,"")</f>
        <v/>
      </c>
      <c r="J18" s="50" t="inlineStr">
        <is>
          <t>네트워크 설계서</t>
        </is>
      </c>
      <c r="K18" s="50" t="inlineStr">
        <is>
          <t>★</t>
        </is>
      </c>
      <c r="L18" s="50" t="n">
        <v>1</v>
      </c>
    </row>
    <row r="19" ht="18" customHeight="1">
      <c r="A19" s="49" t="inlineStr">
        <is>
          <t>2.6</t>
        </is>
      </c>
      <c r="B19" s="50" t="inlineStr">
        <is>
          <t>설계</t>
        </is>
      </c>
      <c r="C19" s="51" t="inlineStr">
        <is>
          <t>서버 · 네트워크 구성도 v6 (AWS DMZ + 온프레미스)</t>
        </is>
      </c>
      <c r="D19" s="55" t="inlineStr">
        <is>
          <t>A</t>
        </is>
      </c>
      <c r="E19" s="50" t="inlineStr">
        <is>
          <t>한성민</t>
        </is>
      </c>
      <c r="F19" s="50" t="inlineStr">
        <is>
          <t>미착수</t>
        </is>
      </c>
      <c r="G19" s="72" t="n">
        <v>46285</v>
      </c>
      <c r="H19" s="72" t="n">
        <v>46286</v>
      </c>
      <c r="I19" s="50">
        <f>IF(AND(G19&lt;&gt;"",H19&lt;&gt;""),H19-G19+1,"")</f>
        <v/>
      </c>
      <c r="J19" s="50" t="inlineStr">
        <is>
          <t>시스템 구성도</t>
        </is>
      </c>
      <c r="K19" s="50" t="inlineStr">
        <is>
          <t>★</t>
        </is>
      </c>
      <c r="L19" s="50" t="n">
        <v>1</v>
      </c>
    </row>
    <row r="20" ht="18" customHeight="1">
      <c r="A20" s="49" t="inlineStr">
        <is>
          <t>2.7</t>
        </is>
      </c>
      <c r="B20" s="50" t="inlineStr">
        <is>
          <t>설계</t>
        </is>
      </c>
      <c r="C20" s="51" t="inlineStr">
        <is>
          <t>웹 디코이 설계 (콘솔과 동일한 인증 로그 형식)</t>
        </is>
      </c>
      <c r="D20" s="56" t="inlineStr">
        <is>
          <t>B</t>
        </is>
      </c>
      <c r="E20" s="50" t="inlineStr">
        <is>
          <t>한성민</t>
        </is>
      </c>
      <c r="F20" s="50" t="inlineStr">
        <is>
          <t>미착수</t>
        </is>
      </c>
      <c r="G20" s="72" t="n">
        <v>46284</v>
      </c>
      <c r="H20" s="72" t="n">
        <v>46285</v>
      </c>
      <c r="I20" s="50">
        <f>IF(AND(G20&lt;&gt;"",H20&lt;&gt;""),H20-G20+1,"")</f>
        <v/>
      </c>
      <c r="J20" s="50" t="inlineStr">
        <is>
          <t>프로그램 설계서</t>
        </is>
      </c>
      <c r="K20" s="50" t="inlineStr">
        <is>
          <t>★</t>
        </is>
      </c>
      <c r="L20" s="50" t="n">
        <v>1</v>
      </c>
    </row>
    <row r="21" ht="18" customHeight="1">
      <c r="A21" s="49" t="inlineStr">
        <is>
          <t>2.8</t>
        </is>
      </c>
      <c r="B21" s="50" t="inlineStr">
        <is>
          <t>설계</t>
        </is>
      </c>
      <c r="C21" s="51" t="inlineStr">
        <is>
          <t>화면 설계 (인시던트 목록 · 상세 · 판정 · 대시보드)</t>
        </is>
      </c>
      <c r="D21" s="62" t="inlineStr">
        <is>
          <t>C</t>
        </is>
      </c>
      <c r="E21" s="50" t="inlineStr">
        <is>
          <t>한성민</t>
        </is>
      </c>
      <c r="F21" s="50" t="inlineStr">
        <is>
          <t>미착수</t>
        </is>
      </c>
      <c r="G21" s="72" t="n">
        <v>46284</v>
      </c>
      <c r="H21" s="72" t="n">
        <v>46286</v>
      </c>
      <c r="I21" s="50">
        <f>IF(AND(G21&lt;&gt;"",H21&lt;&gt;""),H21-G21+1,"")</f>
        <v/>
      </c>
      <c r="J21" s="50" t="inlineStr">
        <is>
          <t>화면설계서</t>
        </is>
      </c>
      <c r="K21" s="50" t="inlineStr">
        <is>
          <t>★</t>
        </is>
      </c>
      <c r="L21" s="50" t="n">
        <v>1</v>
      </c>
    </row>
    <row r="22" ht="18" customHeight="1">
      <c r="A22" s="49" t="inlineStr">
        <is>
          <t>2.9</t>
        </is>
      </c>
      <c r="B22" s="50" t="inlineStr">
        <is>
          <t>설계</t>
        </is>
      </c>
      <c r="C22" s="51" t="inlineStr">
        <is>
          <t>전체 구성도 · 역할 분담도 개정</t>
        </is>
      </c>
      <c r="D22" s="52" t="inlineStr">
        <is>
          <t>-</t>
        </is>
      </c>
      <c r="E22" s="50" t="inlineStr">
        <is>
          <t>한성민</t>
        </is>
      </c>
      <c r="F22" s="50" t="inlineStr">
        <is>
          <t>미착수</t>
        </is>
      </c>
      <c r="G22" s="72" t="n">
        <v>46286</v>
      </c>
      <c r="H22" s="72" t="n">
        <v>46287</v>
      </c>
      <c r="I22" s="50">
        <f>IF(AND(G22&lt;&gt;"",H22&lt;&gt;""),H22-G22+1,"")</f>
        <v/>
      </c>
      <c r="J22" s="50" t="inlineStr">
        <is>
          <t>시스템 구성도</t>
        </is>
      </c>
      <c r="K22" s="50" t="n"/>
      <c r="L22" s="50" t="n">
        <v>1</v>
      </c>
    </row>
    <row r="23" ht="18" customHeight="1">
      <c r="A23" s="47" t="inlineStr">
        <is>
          <t>3.0</t>
        </is>
      </c>
      <c r="B23" s="47" t="inlineStr">
        <is>
          <t>개발</t>
        </is>
      </c>
      <c r="C23" s="48" t="inlineStr">
        <is>
          <t>[개발 단계]</t>
        </is>
      </c>
      <c r="D23" s="47" t="n"/>
      <c r="E23" s="47" t="n"/>
      <c r="F23" s="47" t="n"/>
      <c r="G23" s="47" t="n"/>
      <c r="H23" s="47" t="n"/>
      <c r="I23" s="47" t="n"/>
      <c r="J23" s="47" t="n"/>
      <c r="K23" s="47" t="n"/>
      <c r="L23" s="47" t="n">
        <v>0</v>
      </c>
    </row>
    <row r="24" ht="18" customHeight="1">
      <c r="A24" s="49" t="inlineStr">
        <is>
          <t>3.1</t>
        </is>
      </c>
      <c r="B24" s="50" t="inlineStr">
        <is>
          <t>개발</t>
        </is>
      </c>
      <c r="C24" s="51" t="inlineStr">
        <is>
          <t>[A] AWS DMZ 재구성</t>
        </is>
      </c>
      <c r="D24" s="55" t="inlineStr">
        <is>
          <t>A</t>
        </is>
      </c>
      <c r="E24" s="50" t="inlineStr">
        <is>
          <t>한성민</t>
        </is>
      </c>
      <c r="F24" s="50" t="inlineStr">
        <is>
          <t>미착수</t>
        </is>
      </c>
      <c r="G24" s="72" t="n">
        <v>46287</v>
      </c>
      <c r="H24" s="72" t="n">
        <v>46292</v>
      </c>
      <c r="I24" s="50">
        <f>IF(AND(G24&lt;&gt;"",H24&lt;&gt;""),H24-G24+1,"")</f>
        <v/>
      </c>
      <c r="J24" s="50" t="inlineStr">
        <is>
          <t>인프라 코드</t>
        </is>
      </c>
      <c r="K24" s="50" t="inlineStr">
        <is>
          <t>★</t>
        </is>
      </c>
      <c r="L24" s="50" t="n">
        <v>1</v>
      </c>
    </row>
    <row r="25" ht="18" customHeight="1">
      <c r="A25" s="57" t="inlineStr">
        <is>
          <t>3.1.1</t>
        </is>
      </c>
      <c r="B25" s="57" t="n"/>
      <c r="C25" s="58" t="inlineStr">
        <is>
          <t xml:space="preserve">    ▸ VPC · 서브넷 · 라우팅 Terraform 정의</t>
        </is>
      </c>
      <c r="D25" s="55" t="inlineStr">
        <is>
          <t>A</t>
        </is>
      </c>
      <c r="E25" s="57" t="inlineStr">
        <is>
          <t>한성민</t>
        </is>
      </c>
      <c r="F25" s="57" t="inlineStr">
        <is>
          <t>미착수</t>
        </is>
      </c>
      <c r="G25" s="73" t="n">
        <v>46287</v>
      </c>
      <c r="H25" s="73" t="n">
        <v>46288</v>
      </c>
      <c r="I25" s="57">
        <f>IF(AND(G25&lt;&gt;"",H25&lt;&gt;""),H25-G25+1,"")</f>
        <v/>
      </c>
      <c r="J25" s="57" t="inlineStr">
        <is>
          <t>인프라 코드</t>
        </is>
      </c>
      <c r="K25" s="57" t="inlineStr">
        <is>
          <t>★</t>
        </is>
      </c>
      <c r="L25" s="57" t="n">
        <v>2</v>
      </c>
    </row>
    <row r="26" ht="18" customHeight="1">
      <c r="A26" s="57" t="inlineStr">
        <is>
          <t>3.1.2</t>
        </is>
      </c>
      <c r="B26" s="57" t="n"/>
      <c r="C26" s="58" t="inlineStr">
        <is>
          <t xml:space="preserve">    ▸ 관문 방화벽 인스턴스 (포트 전달 · 차단 로그)</t>
        </is>
      </c>
      <c r="D26" s="55" t="inlineStr">
        <is>
          <t>A</t>
        </is>
      </c>
      <c r="E26" s="57" t="inlineStr">
        <is>
          <t>한성민</t>
        </is>
      </c>
      <c r="F26" s="57" t="inlineStr">
        <is>
          <t>미착수</t>
        </is>
      </c>
      <c r="G26" s="73" t="n">
        <v>46288</v>
      </c>
      <c r="H26" s="73" t="n">
        <v>46290</v>
      </c>
      <c r="I26" s="57">
        <f>IF(AND(G26&lt;&gt;"",H26&lt;&gt;""),H26-G26+1,"")</f>
        <v/>
      </c>
      <c r="J26" s="57" t="inlineStr">
        <is>
          <t>인프라 코드 · 방화벽 규칙</t>
        </is>
      </c>
      <c r="K26" s="57" t="inlineStr">
        <is>
          <t>★</t>
        </is>
      </c>
      <c r="L26" s="57" t="n">
        <v>2</v>
      </c>
    </row>
    <row r="27" ht="18" customHeight="1">
      <c r="A27" s="57" t="inlineStr">
        <is>
          <t>3.1.3</t>
        </is>
      </c>
      <c r="B27" s="57" t="n"/>
      <c r="C27" s="58" t="inlineStr">
        <is>
          <t xml:space="preserve">    ▸ 허니팟 사설 서브넷 이전 및 로그 승계</t>
        </is>
      </c>
      <c r="D27" s="55" t="inlineStr">
        <is>
          <t>A</t>
        </is>
      </c>
      <c r="E27" s="57" t="inlineStr">
        <is>
          <t>한성민</t>
        </is>
      </c>
      <c r="F27" s="57" t="inlineStr">
        <is>
          <t>미착수</t>
        </is>
      </c>
      <c r="G27" s="73" t="n">
        <v>46290</v>
      </c>
      <c r="H27" s="73" t="n">
        <v>46291</v>
      </c>
      <c r="I27" s="57">
        <f>IF(AND(G27&lt;&gt;"",H27&lt;&gt;""),H27-G27+1,"")</f>
        <v/>
      </c>
      <c r="J27" s="57" t="inlineStr">
        <is>
          <t>이전 기록</t>
        </is>
      </c>
      <c r="K27" s="57" t="inlineStr">
        <is>
          <t>★</t>
        </is>
      </c>
      <c r="L27" s="57" t="n">
        <v>2</v>
      </c>
    </row>
    <row r="28" ht="18" customHeight="1">
      <c r="A28" s="57" t="inlineStr">
        <is>
          <t>3.1.4</t>
        </is>
      </c>
      <c r="B28" s="57" t="n"/>
      <c r="C28" s="58" t="inlineStr">
        <is>
          <t xml:space="preserve">    ▸ S3 단방향 반출 경로 · IAM 최소 권한</t>
        </is>
      </c>
      <c r="D28" s="55" t="inlineStr">
        <is>
          <t>A</t>
        </is>
      </c>
      <c r="E28" s="57" t="inlineStr">
        <is>
          <t>한성민</t>
        </is>
      </c>
      <c r="F28" s="57" t="inlineStr">
        <is>
          <t>미착수</t>
        </is>
      </c>
      <c r="G28" s="73" t="n">
        <v>46291</v>
      </c>
      <c r="H28" s="73" t="n">
        <v>46292</v>
      </c>
      <c r="I28" s="57">
        <f>IF(AND(G28&lt;&gt;"",H28&lt;&gt;""),H28-G28+1,"")</f>
        <v/>
      </c>
      <c r="J28" s="57" t="inlineStr">
        <is>
          <t>인프라 코드</t>
        </is>
      </c>
      <c r="K28" s="57" t="inlineStr">
        <is>
          <t>★</t>
        </is>
      </c>
      <c r="L28" s="57" t="n">
        <v>2</v>
      </c>
    </row>
    <row r="29" ht="18" customHeight="1">
      <c r="A29" s="57" t="inlineStr">
        <is>
          <t>3.1.5</t>
        </is>
      </c>
      <c r="B29" s="57" t="n"/>
      <c r="C29" s="58" t="inlineStr">
        <is>
          <t xml:space="preserve">    ▸ 구 앱 노드 정리 · 기간 비용 재확인</t>
        </is>
      </c>
      <c r="D29" s="55" t="inlineStr">
        <is>
          <t>A</t>
        </is>
      </c>
      <c r="E29" s="57" t="inlineStr">
        <is>
          <t>한성민</t>
        </is>
      </c>
      <c r="F29" s="57" t="inlineStr">
        <is>
          <t>미착수</t>
        </is>
      </c>
      <c r="G29" s="73" t="n">
        <v>46292</v>
      </c>
      <c r="H29" s="73" t="n">
        <v>46292</v>
      </c>
      <c r="I29" s="57">
        <f>IF(AND(G29&lt;&gt;"",H29&lt;&gt;""),H29-G29+1,"")</f>
        <v/>
      </c>
      <c r="J29" s="57" t="inlineStr">
        <is>
          <t>비용 산정표</t>
        </is>
      </c>
      <c r="K29" s="57" t="n"/>
      <c r="L29" s="57" t="n">
        <v>2</v>
      </c>
    </row>
    <row r="30" ht="18" customHeight="1">
      <c r="A30" s="49" t="inlineStr">
        <is>
          <t>3.2</t>
        </is>
      </c>
      <c r="B30" s="50" t="inlineStr">
        <is>
          <t>개발</t>
        </is>
      </c>
      <c r="C30" s="51" t="inlineStr">
        <is>
          <t>[B] 웹 디코이 (선행 노출로 수집 시간 확보)</t>
        </is>
      </c>
      <c r="D30" s="56" t="inlineStr">
        <is>
          <t>B</t>
        </is>
      </c>
      <c r="E30" s="50" t="inlineStr">
        <is>
          <t>한성민</t>
        </is>
      </c>
      <c r="F30" s="50" t="inlineStr">
        <is>
          <t>미착수</t>
        </is>
      </c>
      <c r="G30" s="72" t="n">
        <v>46284</v>
      </c>
      <c r="H30" s="72" t="n">
        <v>46291</v>
      </c>
      <c r="I30" s="50">
        <f>IF(AND(G30&lt;&gt;"",H30&lt;&gt;""),H30-G30+1,"")</f>
        <v/>
      </c>
      <c r="J30" s="50" t="inlineStr">
        <is>
          <t>소스코드</t>
        </is>
      </c>
      <c r="K30" s="50" t="inlineStr">
        <is>
          <t>★</t>
        </is>
      </c>
      <c r="L30" s="50" t="n">
        <v>1</v>
      </c>
    </row>
    <row r="31" ht="18" customHeight="1">
      <c r="A31" s="57" t="inlineStr">
        <is>
          <t>3.2.1</t>
        </is>
      </c>
      <c r="B31" s="57" t="n"/>
      <c r="C31" s="58" t="inlineStr">
        <is>
          <t xml:space="preserve">    ▸ 가짜 admin 로그인 · 행위 기록 구현</t>
        </is>
      </c>
      <c r="D31" s="56" t="inlineStr">
        <is>
          <t>B</t>
        </is>
      </c>
      <c r="E31" s="57" t="inlineStr">
        <is>
          <t>한성민</t>
        </is>
      </c>
      <c r="F31" s="57" t="inlineStr">
        <is>
          <t>미착수</t>
        </is>
      </c>
      <c r="G31" s="73" t="n">
        <v>46284</v>
      </c>
      <c r="H31" s="73" t="n">
        <v>46286</v>
      </c>
      <c r="I31" s="57">
        <f>IF(AND(G31&lt;&gt;"",H31&lt;&gt;""),H31-G31+1,"")</f>
        <v/>
      </c>
      <c r="J31" s="57" t="inlineStr">
        <is>
          <t>소스코드</t>
        </is>
      </c>
      <c r="K31" s="57" t="inlineStr">
        <is>
          <t>★</t>
        </is>
      </c>
      <c r="L31" s="57" t="n">
        <v>2</v>
      </c>
    </row>
    <row r="32" ht="18" customHeight="1">
      <c r="A32" s="57" t="inlineStr">
        <is>
          <t>3.2.2</t>
        </is>
      </c>
      <c r="B32" s="57" t="n"/>
      <c r="C32" s="58" t="inlineStr">
        <is>
          <t xml:space="preserve">    ▸ 현행 환경에 선행 노출 및 수집 시작</t>
        </is>
      </c>
      <c r="D32" s="56" t="inlineStr">
        <is>
          <t>B</t>
        </is>
      </c>
      <c r="E32" s="57" t="inlineStr">
        <is>
          <t>한성민</t>
        </is>
      </c>
      <c r="F32" s="57" t="inlineStr">
        <is>
          <t>미착수</t>
        </is>
      </c>
      <c r="G32" s="73" t="n">
        <v>46286</v>
      </c>
      <c r="H32" s="73" t="n">
        <v>46287</v>
      </c>
      <c r="I32" s="57">
        <f>IF(AND(G32&lt;&gt;"",H32&lt;&gt;""),H32-G32+1,"")</f>
        <v/>
      </c>
      <c r="J32" s="57" t="inlineStr">
        <is>
          <t>수집 로그</t>
        </is>
      </c>
      <c r="K32" s="57" t="inlineStr">
        <is>
          <t>★</t>
        </is>
      </c>
      <c r="L32" s="57" t="n">
        <v>2</v>
      </c>
    </row>
    <row r="33" ht="18" customHeight="1">
      <c r="A33" s="57" t="inlineStr">
        <is>
          <t>3.2.3</t>
        </is>
      </c>
      <c r="B33" s="57" t="n"/>
      <c r="C33" s="58" t="inlineStr">
        <is>
          <t xml:space="preserve">    ▸ 디코이 로그 정규화 (공통 스키마 편입)</t>
        </is>
      </c>
      <c r="D33" s="56" t="inlineStr">
        <is>
          <t>B</t>
        </is>
      </c>
      <c r="E33" s="57" t="inlineStr">
        <is>
          <t>한성민</t>
        </is>
      </c>
      <c r="F33" s="57" t="inlineStr">
        <is>
          <t>미착수</t>
        </is>
      </c>
      <c r="G33" s="73" t="n">
        <v>46289</v>
      </c>
      <c r="H33" s="73" t="n">
        <v>46291</v>
      </c>
      <c r="I33" s="57">
        <f>IF(AND(G33&lt;&gt;"",H33&lt;&gt;""),H33-G33+1,"")</f>
        <v/>
      </c>
      <c r="J33" s="57" t="inlineStr">
        <is>
          <t>소스코드</t>
        </is>
      </c>
      <c r="K33" s="57" t="n"/>
      <c r="L33" s="57" t="n">
        <v>2</v>
      </c>
    </row>
    <row r="34" ht="18" customHeight="1">
      <c r="A34" s="49" t="inlineStr">
        <is>
          <t>3.3</t>
        </is>
      </c>
      <c r="B34" s="50" t="inlineStr">
        <is>
          <t>개발</t>
        </is>
      </c>
      <c r="C34" s="51" t="inlineStr">
        <is>
          <t>[A] 온프레미스 내부망 구축 (가상화)</t>
        </is>
      </c>
      <c r="D34" s="55" t="inlineStr">
        <is>
          <t>A</t>
        </is>
      </c>
      <c r="E34" s="50" t="inlineStr">
        <is>
          <t>한성민</t>
        </is>
      </c>
      <c r="F34" s="50" t="inlineStr">
        <is>
          <t>미착수</t>
        </is>
      </c>
      <c r="G34" s="72" t="n">
        <v>46287</v>
      </c>
      <c r="H34" s="72" t="n">
        <v>46293</v>
      </c>
      <c r="I34" s="50">
        <f>IF(AND(G34&lt;&gt;"",H34&lt;&gt;""),H34-G34+1,"")</f>
        <v/>
      </c>
      <c r="J34" s="50" t="inlineStr">
        <is>
          <t>배포 환경</t>
        </is>
      </c>
      <c r="K34" s="50" t="inlineStr">
        <is>
          <t>★</t>
        </is>
      </c>
      <c r="L34" s="50" t="n">
        <v>1</v>
      </c>
    </row>
    <row r="35" ht="18" customHeight="1">
      <c r="A35" s="57" t="inlineStr">
        <is>
          <t>3.3.1</t>
        </is>
      </c>
      <c r="B35" s="57" t="n"/>
      <c r="C35" s="58" t="inlineStr">
        <is>
          <t xml:space="preserve">    ▸ VM 4대 생성 · 가상 스위치로 세그먼트 분리</t>
        </is>
      </c>
      <c r="D35" s="55" t="inlineStr">
        <is>
          <t>A</t>
        </is>
      </c>
      <c r="E35" s="57" t="inlineStr">
        <is>
          <t>한성민</t>
        </is>
      </c>
      <c r="F35" s="57" t="inlineStr">
        <is>
          <t>미착수</t>
        </is>
      </c>
      <c r="G35" s="73" t="n">
        <v>46287</v>
      </c>
      <c r="H35" s="73" t="n">
        <v>46289</v>
      </c>
      <c r="I35" s="57">
        <f>IF(AND(G35&lt;&gt;"",H35&lt;&gt;""),H35-G35+1,"")</f>
        <v/>
      </c>
      <c r="J35" s="57" t="inlineStr">
        <is>
          <t>배포 환경</t>
        </is>
      </c>
      <c r="K35" s="57" t="inlineStr">
        <is>
          <t>★</t>
        </is>
      </c>
      <c r="L35" s="57" t="n">
        <v>2</v>
      </c>
    </row>
    <row r="36" ht="18" customHeight="1">
      <c r="A36" s="57" t="inlineStr">
        <is>
          <t>3.3.2</t>
        </is>
      </c>
      <c r="B36" s="57" t="n"/>
      <c r="C36" s="58" t="inlineStr">
        <is>
          <t xml:space="preserve">    ▸ 내부 방화벽 규칙 적용 및 통신 검증</t>
        </is>
      </c>
      <c r="D36" s="55" t="inlineStr">
        <is>
          <t>A</t>
        </is>
      </c>
      <c r="E36" s="57" t="inlineStr">
        <is>
          <t>한성민</t>
        </is>
      </c>
      <c r="F36" s="57" t="inlineStr">
        <is>
          <t>미착수</t>
        </is>
      </c>
      <c r="G36" s="73" t="n">
        <v>46289</v>
      </c>
      <c r="H36" s="73" t="n">
        <v>46290</v>
      </c>
      <c r="I36" s="57">
        <f>IF(AND(G36&lt;&gt;"",H36&lt;&gt;""),H36-G36+1,"")</f>
        <v/>
      </c>
      <c r="J36" s="57" t="inlineStr">
        <is>
          <t>방화벽 규칙표</t>
        </is>
      </c>
      <c r="K36" s="57" t="inlineStr">
        <is>
          <t>★</t>
        </is>
      </c>
      <c r="L36" s="57" t="n">
        <v>2</v>
      </c>
    </row>
    <row r="37" ht="18" customHeight="1">
      <c r="A37" s="57" t="inlineStr">
        <is>
          <t>3.3.3</t>
        </is>
      </c>
      <c r="B37" s="57" t="n"/>
      <c r="C37" s="58" t="inlineStr">
        <is>
          <t xml:space="preserve">    ▸ HAProxy 구성 (콘솔 A · B 분배)</t>
        </is>
      </c>
      <c r="D37" s="55" t="inlineStr">
        <is>
          <t>A</t>
        </is>
      </c>
      <c r="E37" s="57" t="inlineStr">
        <is>
          <t>한성민</t>
        </is>
      </c>
      <c r="F37" s="57" t="inlineStr">
        <is>
          <t>미착수</t>
        </is>
      </c>
      <c r="G37" s="73" t="n">
        <v>46290</v>
      </c>
      <c r="H37" s="73" t="n">
        <v>46291</v>
      </c>
      <c r="I37" s="57">
        <f>IF(AND(G37&lt;&gt;"",H37&lt;&gt;""),H37-G37+1,"")</f>
        <v/>
      </c>
      <c r="J37" s="57" t="inlineStr">
        <is>
          <t>설정 파일</t>
        </is>
      </c>
      <c r="K37" s="57" t="n"/>
      <c r="L37" s="57" t="n">
        <v>2</v>
      </c>
    </row>
    <row r="38" ht="18" customHeight="1">
      <c r="A38" s="57" t="inlineStr">
        <is>
          <t>3.3.4</t>
        </is>
      </c>
      <c r="B38" s="57" t="n"/>
      <c r="C38" s="58" t="inlineStr">
        <is>
          <t xml:space="preserve">    ▸ 데이터베이스 · 애플리케이션 이전</t>
        </is>
      </c>
      <c r="D38" s="55" t="inlineStr">
        <is>
          <t>A</t>
        </is>
      </c>
      <c r="E38" s="57" t="inlineStr">
        <is>
          <t>한성민</t>
        </is>
      </c>
      <c r="F38" s="57" t="inlineStr">
        <is>
          <t>미착수</t>
        </is>
      </c>
      <c r="G38" s="73" t="n">
        <v>46291</v>
      </c>
      <c r="H38" s="73" t="n">
        <v>46293</v>
      </c>
      <c r="I38" s="57">
        <f>IF(AND(G38&lt;&gt;"",H38&lt;&gt;""),H38-G38+1,"")</f>
        <v/>
      </c>
      <c r="J38" s="57" t="inlineStr">
        <is>
          <t>이전 검증 기록</t>
        </is>
      </c>
      <c r="K38" s="57" t="inlineStr">
        <is>
          <t>★</t>
        </is>
      </c>
      <c r="L38" s="57" t="n">
        <v>2</v>
      </c>
    </row>
    <row r="39" ht="18" customHeight="1">
      <c r="A39" s="49" t="inlineStr">
        <is>
          <t>3.4</t>
        </is>
      </c>
      <c r="B39" s="50" t="inlineStr">
        <is>
          <t>개발</t>
        </is>
      </c>
      <c r="C39" s="51" t="inlineStr">
        <is>
          <t>[B] 수집 파이프라인</t>
        </is>
      </c>
      <c r="D39" s="56" t="inlineStr">
        <is>
          <t>B</t>
        </is>
      </c>
      <c r="E39" s="50" t="inlineStr">
        <is>
          <t>한성민</t>
        </is>
      </c>
      <c r="F39" s="50" t="inlineStr">
        <is>
          <t>미착수</t>
        </is>
      </c>
      <c r="G39" s="72" t="n">
        <v>46292</v>
      </c>
      <c r="H39" s="72" t="n">
        <v>46296</v>
      </c>
      <c r="I39" s="50">
        <f>IF(AND(G39&lt;&gt;"",H39&lt;&gt;""),H39-G39+1,"")</f>
        <v/>
      </c>
      <c r="J39" s="50" t="inlineStr">
        <is>
          <t>소스코드</t>
        </is>
      </c>
      <c r="K39" s="50" t="inlineStr">
        <is>
          <t>★</t>
        </is>
      </c>
      <c r="L39" s="50" t="n">
        <v>1</v>
      </c>
    </row>
    <row r="40" ht="18" customHeight="1">
      <c r="A40" s="57" t="inlineStr">
        <is>
          <t>3.4.1</t>
        </is>
      </c>
      <c r="B40" s="57" t="n"/>
      <c r="C40" s="58" t="inlineStr">
        <is>
          <t xml:space="preserve">    ▸ S3 가져오기 · 소급 적재</t>
        </is>
      </c>
      <c r="D40" s="56" t="inlineStr">
        <is>
          <t>B</t>
        </is>
      </c>
      <c r="E40" s="57" t="inlineStr">
        <is>
          <t>한성민</t>
        </is>
      </c>
      <c r="F40" s="57" t="inlineStr">
        <is>
          <t>미착수</t>
        </is>
      </c>
      <c r="G40" s="73" t="n">
        <v>46292</v>
      </c>
      <c r="H40" s="73" t="n">
        <v>46294</v>
      </c>
      <c r="I40" s="57">
        <f>IF(AND(G40&lt;&gt;"",H40&lt;&gt;""),H40-G40+1,"")</f>
        <v/>
      </c>
      <c r="J40" s="57" t="inlineStr">
        <is>
          <t>소스코드</t>
        </is>
      </c>
      <c r="K40" s="57" t="inlineStr">
        <is>
          <t>★</t>
        </is>
      </c>
      <c r="L40" s="57" t="n">
        <v>2</v>
      </c>
    </row>
    <row r="41" ht="18" customHeight="1">
      <c r="A41" s="57" t="inlineStr">
        <is>
          <t>3.4.2</t>
        </is>
      </c>
      <c r="B41" s="57" t="n"/>
      <c r="C41" s="58" t="inlineStr">
        <is>
          <t xml:space="preserve">    ▸ Grafana Alloy · Loki 구성</t>
        </is>
      </c>
      <c r="D41" s="56" t="inlineStr">
        <is>
          <t>B</t>
        </is>
      </c>
      <c r="E41" s="57" t="inlineStr">
        <is>
          <t>한성민</t>
        </is>
      </c>
      <c r="F41" s="57" t="inlineStr">
        <is>
          <t>미착수</t>
        </is>
      </c>
      <c r="G41" s="73" t="n">
        <v>46294</v>
      </c>
      <c r="H41" s="73" t="n">
        <v>46295</v>
      </c>
      <c r="I41" s="57">
        <f>IF(AND(G41&lt;&gt;"",H41&lt;&gt;""),H41-G41+1,"")</f>
        <v/>
      </c>
      <c r="J41" s="57" t="inlineStr">
        <is>
          <t>설정 파일</t>
        </is>
      </c>
      <c r="K41" s="57" t="n"/>
      <c r="L41" s="57" t="n">
        <v>2</v>
      </c>
    </row>
    <row r="42" ht="18" customHeight="1">
      <c r="A42" s="57" t="inlineStr">
        <is>
          <t>3.4.3</t>
        </is>
      </c>
      <c r="B42" s="57" t="n"/>
      <c r="C42" s="58" t="inlineStr">
        <is>
          <t xml:space="preserve">    ▸ 에이전트 자동 등록 (설치 자동화 · 토큰 발급)</t>
        </is>
      </c>
      <c r="D42" s="56" t="inlineStr">
        <is>
          <t>B</t>
        </is>
      </c>
      <c r="E42" s="57" t="inlineStr">
        <is>
          <t>한성민</t>
        </is>
      </c>
      <c r="F42" s="57" t="inlineStr">
        <is>
          <t>미착수</t>
        </is>
      </c>
      <c r="G42" s="73" t="n">
        <v>46295</v>
      </c>
      <c r="H42" s="73" t="n">
        <v>46296</v>
      </c>
      <c r="I42" s="57">
        <f>IF(AND(G42&lt;&gt;"",H42&lt;&gt;""),H42-G42+1,"")</f>
        <v/>
      </c>
      <c r="J42" s="57" t="inlineStr">
        <is>
          <t>배포 스크립트</t>
        </is>
      </c>
      <c r="K42" s="57" t="n"/>
      <c r="L42" s="57" t="n">
        <v>2</v>
      </c>
    </row>
    <row r="43" ht="18" customHeight="1">
      <c r="A43" s="57" t="inlineStr">
        <is>
          <t>3.4.4</t>
        </is>
      </c>
      <c r="B43" s="57" t="n"/>
      <c r="C43" s="58" t="inlineStr">
        <is>
          <t xml:space="preserve">    ▸ 미등록 에이전트 탐지 알림</t>
        </is>
      </c>
      <c r="D43" s="56" t="inlineStr">
        <is>
          <t>B</t>
        </is>
      </c>
      <c r="E43" s="57" t="inlineStr">
        <is>
          <t>한성민</t>
        </is>
      </c>
      <c r="F43" s="57" t="inlineStr">
        <is>
          <t>미착수</t>
        </is>
      </c>
      <c r="G43" s="73" t="n">
        <v>46296</v>
      </c>
      <c r="H43" s="73" t="n">
        <v>46296</v>
      </c>
      <c r="I43" s="57">
        <f>IF(AND(G43&lt;&gt;"",H43&lt;&gt;""),H43-G43+1,"")</f>
        <v/>
      </c>
      <c r="J43" s="57" t="inlineStr">
        <is>
          <t>소스코드</t>
        </is>
      </c>
      <c r="K43" s="57" t="n"/>
      <c r="L43" s="57" t="n">
        <v>2</v>
      </c>
    </row>
    <row r="44" ht="18" customHeight="1">
      <c r="A44" s="49" t="inlineStr">
        <is>
          <t>3.5</t>
        </is>
      </c>
      <c r="B44" s="50" t="inlineStr">
        <is>
          <t>개발</t>
        </is>
      </c>
      <c r="C44" s="51" t="inlineStr">
        <is>
          <t>[B] 탐지 엔진 보강</t>
        </is>
      </c>
      <c r="D44" s="56" t="inlineStr">
        <is>
          <t>B</t>
        </is>
      </c>
      <c r="E44" s="50" t="inlineStr">
        <is>
          <t>한성민</t>
        </is>
      </c>
      <c r="F44" s="50" t="inlineStr">
        <is>
          <t>미착수</t>
        </is>
      </c>
      <c r="G44" s="72" t="n">
        <v>46291</v>
      </c>
      <c r="H44" s="72" t="n">
        <v>46297</v>
      </c>
      <c r="I44" s="50">
        <f>IF(AND(G44&lt;&gt;"",H44&lt;&gt;""),H44-G44+1,"")</f>
        <v/>
      </c>
      <c r="J44" s="50" t="inlineStr">
        <is>
          <t>소스코드</t>
        </is>
      </c>
      <c r="K44" s="50" t="inlineStr">
        <is>
          <t>★</t>
        </is>
      </c>
      <c r="L44" s="50" t="n">
        <v>1</v>
      </c>
    </row>
    <row r="45" ht="18" customHeight="1">
      <c r="A45" s="57" t="inlineStr">
        <is>
          <t>3.5.1</t>
        </is>
      </c>
      <c r="B45" s="57" t="n"/>
      <c r="C45" s="58" t="inlineStr">
        <is>
          <t xml:space="preserve">    ▸ 웹 인증 로그 규칙군 신설 (R101~)</t>
        </is>
      </c>
      <c r="D45" s="56" t="inlineStr">
        <is>
          <t>B</t>
        </is>
      </c>
      <c r="E45" s="57" t="inlineStr">
        <is>
          <t>한성민</t>
        </is>
      </c>
      <c r="F45" s="57" t="inlineStr">
        <is>
          <t>미착수</t>
        </is>
      </c>
      <c r="G45" s="73" t="n">
        <v>46291</v>
      </c>
      <c r="H45" s="73" t="n">
        <v>46293</v>
      </c>
      <c r="I45" s="57">
        <f>IF(AND(G45&lt;&gt;"",H45&lt;&gt;""),H45-G45+1,"")</f>
        <v/>
      </c>
      <c r="J45" s="57" t="inlineStr">
        <is>
          <t>규칙 파일</t>
        </is>
      </c>
      <c r="K45" s="57" t="inlineStr">
        <is>
          <t>★</t>
        </is>
      </c>
      <c r="L45" s="57" t="n">
        <v>2</v>
      </c>
    </row>
    <row r="46" ht="18" customHeight="1">
      <c r="A46" s="57" t="inlineStr">
        <is>
          <t>3.5.2</t>
        </is>
      </c>
      <c r="B46" s="57" t="n"/>
      <c r="C46" s="58" t="inlineStr">
        <is>
          <t xml:space="preserve">    ▸ 규칙 외부화 (DB 레코드 기반 관리)</t>
        </is>
      </c>
      <c r="D46" s="56" t="inlineStr">
        <is>
          <t>B</t>
        </is>
      </c>
      <c r="E46" s="57" t="inlineStr">
        <is>
          <t>한성민</t>
        </is>
      </c>
      <c r="F46" s="57" t="inlineStr">
        <is>
          <t>미착수</t>
        </is>
      </c>
      <c r="G46" s="73" t="n">
        <v>46293</v>
      </c>
      <c r="H46" s="73" t="n">
        <v>46295</v>
      </c>
      <c r="I46" s="57">
        <f>IF(AND(G46&lt;&gt;"",H46&lt;&gt;""),H46-G46+1,"")</f>
        <v/>
      </c>
      <c r="J46" s="57" t="inlineStr">
        <is>
          <t>소스코드</t>
        </is>
      </c>
      <c r="K46" s="57" t="n"/>
      <c r="L46" s="57" t="n">
        <v>2</v>
      </c>
    </row>
    <row r="47" ht="18" customHeight="1">
      <c r="A47" s="57" t="inlineStr">
        <is>
          <t>3.5.3</t>
        </is>
      </c>
      <c r="B47" s="57" t="n"/>
      <c r="C47" s="58" t="inlineStr">
        <is>
          <t xml:space="preserve">    ▸ 압축 · 억제 규칙 정비</t>
        </is>
      </c>
      <c r="D47" s="56" t="inlineStr">
        <is>
          <t>B</t>
        </is>
      </c>
      <c r="E47" s="57" t="inlineStr">
        <is>
          <t>한성민</t>
        </is>
      </c>
      <c r="F47" s="57" t="inlineStr">
        <is>
          <t>미착수</t>
        </is>
      </c>
      <c r="G47" s="73" t="n">
        <v>46295</v>
      </c>
      <c r="H47" s="73" t="n">
        <v>46297</v>
      </c>
      <c r="I47" s="57">
        <f>IF(AND(G47&lt;&gt;"",H47&lt;&gt;""),H47-G47+1,"")</f>
        <v/>
      </c>
      <c r="J47" s="57" t="inlineStr">
        <is>
          <t>소스코드</t>
        </is>
      </c>
      <c r="K47" s="57" t="n"/>
      <c r="L47" s="57" t="n">
        <v>2</v>
      </c>
    </row>
    <row r="48" ht="18" customHeight="1">
      <c r="A48" s="49" t="inlineStr">
        <is>
          <t>3.6</t>
        </is>
      </c>
      <c r="B48" s="50" t="inlineStr">
        <is>
          <t>개발</t>
        </is>
      </c>
      <c r="C48" s="51" t="inlineStr">
        <is>
          <t>[C] 관제 콘솔</t>
        </is>
      </c>
      <c r="D48" s="62" t="inlineStr">
        <is>
          <t>C</t>
        </is>
      </c>
      <c r="E48" s="50" t="inlineStr">
        <is>
          <t>한성민</t>
        </is>
      </c>
      <c r="F48" s="50" t="inlineStr">
        <is>
          <t>미착수</t>
        </is>
      </c>
      <c r="G48" s="72" t="n">
        <v>46287</v>
      </c>
      <c r="H48" s="72" t="n">
        <v>46301</v>
      </c>
      <c r="I48" s="50">
        <f>IF(AND(G48&lt;&gt;"",H48&lt;&gt;""),H48-G48+1,"")</f>
        <v/>
      </c>
      <c r="J48" s="50" t="inlineStr">
        <is>
          <t>소스코드</t>
        </is>
      </c>
      <c r="K48" s="50" t="inlineStr">
        <is>
          <t>★</t>
        </is>
      </c>
      <c r="L48" s="50" t="n">
        <v>1</v>
      </c>
    </row>
    <row r="49" ht="18" customHeight="1">
      <c r="A49" s="57" t="inlineStr">
        <is>
          <t>3.6.1</t>
        </is>
      </c>
      <c r="B49" s="57" t="n"/>
      <c r="C49" s="58" t="inlineStr">
        <is>
          <t xml:space="preserve">    ▸ 프로젝트 골격 · 공통 레이아웃 · 인증</t>
        </is>
      </c>
      <c r="D49" s="62" t="inlineStr">
        <is>
          <t>C</t>
        </is>
      </c>
      <c r="E49" s="57" t="inlineStr">
        <is>
          <t>한성민</t>
        </is>
      </c>
      <c r="F49" s="57" t="inlineStr">
        <is>
          <t>미착수</t>
        </is>
      </c>
      <c r="G49" s="73" t="n">
        <v>46287</v>
      </c>
      <c r="H49" s="73" t="n">
        <v>46289</v>
      </c>
      <c r="I49" s="57">
        <f>IF(AND(G49&lt;&gt;"",H49&lt;&gt;""),H49-G49+1,"")</f>
        <v/>
      </c>
      <c r="J49" s="57" t="inlineStr">
        <is>
          <t>소스코드</t>
        </is>
      </c>
      <c r="K49" s="57" t="inlineStr">
        <is>
          <t>★</t>
        </is>
      </c>
      <c r="L49" s="57" t="n">
        <v>2</v>
      </c>
    </row>
    <row r="50" ht="18" customHeight="1">
      <c r="A50" s="57" t="inlineStr">
        <is>
          <t>3.6.2</t>
        </is>
      </c>
      <c r="B50" s="57" t="n"/>
      <c r="C50" s="58" t="inlineStr">
        <is>
          <t xml:space="preserve">    ▸ 인시던트 목록 · 상세 (증거 집약)</t>
        </is>
      </c>
      <c r="D50" s="62" t="inlineStr">
        <is>
          <t>C</t>
        </is>
      </c>
      <c r="E50" s="57" t="inlineStr">
        <is>
          <t>한성민</t>
        </is>
      </c>
      <c r="F50" s="57" t="inlineStr">
        <is>
          <t>미착수</t>
        </is>
      </c>
      <c r="G50" s="73" t="n">
        <v>46289</v>
      </c>
      <c r="H50" s="73" t="n">
        <v>46292</v>
      </c>
      <c r="I50" s="57">
        <f>IF(AND(G50&lt;&gt;"",H50&lt;&gt;""),H50-G50+1,"")</f>
        <v/>
      </c>
      <c r="J50" s="57" t="inlineStr">
        <is>
          <t>소스코드</t>
        </is>
      </c>
      <c r="K50" s="57" t="inlineStr">
        <is>
          <t>★</t>
        </is>
      </c>
      <c r="L50" s="57" t="n">
        <v>2</v>
      </c>
    </row>
    <row r="51" ht="18" customHeight="1">
      <c r="A51" s="57" t="inlineStr">
        <is>
          <t>3.6.3</t>
        </is>
      </c>
      <c r="B51" s="57" t="n"/>
      <c r="C51" s="58" t="inlineStr">
        <is>
          <t xml:space="preserve">    ▸ 판정 화면 (제안 · 수락 · 뒤집기 기록)</t>
        </is>
      </c>
      <c r="D51" s="62" t="inlineStr">
        <is>
          <t>C</t>
        </is>
      </c>
      <c r="E51" s="57" t="inlineStr">
        <is>
          <t>한성민</t>
        </is>
      </c>
      <c r="F51" s="57" t="inlineStr">
        <is>
          <t>미착수</t>
        </is>
      </c>
      <c r="G51" s="73" t="n">
        <v>46292</v>
      </c>
      <c r="H51" s="73" t="n">
        <v>46294</v>
      </c>
      <c r="I51" s="57">
        <f>IF(AND(G51&lt;&gt;"",H51&lt;&gt;""),H51-G51+1,"")</f>
        <v/>
      </c>
      <c r="J51" s="57" t="inlineStr">
        <is>
          <t>소스코드</t>
        </is>
      </c>
      <c r="K51" s="57" t="inlineStr">
        <is>
          <t>★</t>
        </is>
      </c>
      <c r="L51" s="57" t="n">
        <v>2</v>
      </c>
    </row>
    <row r="52" ht="18" customHeight="1">
      <c r="A52" s="57" t="inlineStr">
        <is>
          <t>3.6.4</t>
        </is>
      </c>
      <c r="B52" s="57" t="n"/>
      <c r="C52" s="58" t="inlineStr">
        <is>
          <t xml:space="preserve">    ▸ 미판정 경과 시간 대시보드 (모바일 대응)</t>
        </is>
      </c>
      <c r="D52" s="62" t="inlineStr">
        <is>
          <t>C</t>
        </is>
      </c>
      <c r="E52" s="57" t="inlineStr">
        <is>
          <t>한성민</t>
        </is>
      </c>
      <c r="F52" s="57" t="inlineStr">
        <is>
          <t>미착수</t>
        </is>
      </c>
      <c r="G52" s="73" t="n">
        <v>46294</v>
      </c>
      <c r="H52" s="73" t="n">
        <v>46296</v>
      </c>
      <c r="I52" s="57">
        <f>IF(AND(G52&lt;&gt;"",H52&lt;&gt;""),H52-G52+1,"")</f>
        <v/>
      </c>
      <c r="J52" s="57" t="inlineStr">
        <is>
          <t>소스코드</t>
        </is>
      </c>
      <c r="K52" s="57" t="inlineStr">
        <is>
          <t>★</t>
        </is>
      </c>
      <c r="L52" s="57" t="n">
        <v>2</v>
      </c>
    </row>
    <row r="53" ht="18" customHeight="1">
      <c r="A53" s="57" t="inlineStr">
        <is>
          <t>3.6.5</t>
        </is>
      </c>
      <c r="B53" s="57" t="n"/>
      <c r="C53" s="58" t="inlineStr">
        <is>
          <t xml:space="preserve">    ▸ 웹소켓 실시간 갱신</t>
        </is>
      </c>
      <c r="D53" s="62" t="inlineStr">
        <is>
          <t>C</t>
        </is>
      </c>
      <c r="E53" s="57" t="inlineStr">
        <is>
          <t>한성민</t>
        </is>
      </c>
      <c r="F53" s="57" t="inlineStr">
        <is>
          <t>미착수</t>
        </is>
      </c>
      <c r="G53" s="73" t="n">
        <v>46296</v>
      </c>
      <c r="H53" s="73" t="n">
        <v>46298</v>
      </c>
      <c r="I53" s="57">
        <f>IF(AND(G53&lt;&gt;"",H53&lt;&gt;""),H53-G53+1,"")</f>
        <v/>
      </c>
      <c r="J53" s="57" t="inlineStr">
        <is>
          <t>소스코드</t>
        </is>
      </c>
      <c r="K53" s="57" t="n"/>
      <c r="L53" s="57" t="n">
        <v>2</v>
      </c>
    </row>
    <row r="54" ht="18" customHeight="1">
      <c r="A54" s="57" t="inlineStr">
        <is>
          <t>3.6.6</t>
        </is>
      </c>
      <c r="B54" s="57" t="n"/>
      <c r="C54" s="58" t="inlineStr">
        <is>
          <t xml:space="preserve">    ▸ 차단 목록 · 만료 · 조치 이력</t>
        </is>
      </c>
      <c r="D54" s="62" t="inlineStr">
        <is>
          <t>C</t>
        </is>
      </c>
      <c r="E54" s="57" t="inlineStr">
        <is>
          <t>한성민</t>
        </is>
      </c>
      <c r="F54" s="57" t="inlineStr">
        <is>
          <t>미착수</t>
        </is>
      </c>
      <c r="G54" s="73" t="n">
        <v>46298</v>
      </c>
      <c r="H54" s="73" t="n">
        <v>46300</v>
      </c>
      <c r="I54" s="57">
        <f>IF(AND(G54&lt;&gt;"",H54&lt;&gt;""),H54-G54+1,"")</f>
        <v/>
      </c>
      <c r="J54" s="57" t="inlineStr">
        <is>
          <t>소스코드</t>
        </is>
      </c>
      <c r="K54" s="57" t="n"/>
      <c r="L54" s="57" t="n">
        <v>2</v>
      </c>
    </row>
    <row r="55" ht="18" customHeight="1">
      <c r="A55" s="57" t="inlineStr">
        <is>
          <t>3.6.7</t>
        </is>
      </c>
      <c r="B55" s="57" t="n"/>
      <c r="C55" s="58" t="inlineStr">
        <is>
          <t xml:space="preserve">    ▸ 통보 연동 (수신 훅 · 등급별 발송)</t>
        </is>
      </c>
      <c r="D55" s="62" t="inlineStr">
        <is>
          <t>C</t>
        </is>
      </c>
      <c r="E55" s="57" t="inlineStr">
        <is>
          <t>한성민</t>
        </is>
      </c>
      <c r="F55" s="57" t="inlineStr">
        <is>
          <t>미착수</t>
        </is>
      </c>
      <c r="G55" s="73" t="n">
        <v>46300</v>
      </c>
      <c r="H55" s="73" t="n">
        <v>46301</v>
      </c>
      <c r="I55" s="57">
        <f>IF(AND(G55&lt;&gt;"",H55&lt;&gt;""),H55-G55+1,"")</f>
        <v/>
      </c>
      <c r="J55" s="57" t="inlineStr">
        <is>
          <t>소스코드</t>
        </is>
      </c>
      <c r="K55" s="57" t="n"/>
      <c r="L55" s="57" t="n">
        <v>2</v>
      </c>
    </row>
    <row r="56" ht="18" customHeight="1">
      <c r="A56" s="49" t="inlineStr">
        <is>
          <t>3.7</t>
        </is>
      </c>
      <c r="B56" s="50" t="inlineStr">
        <is>
          <t>개발</t>
        </is>
      </c>
      <c r="C56" s="51" t="inlineStr">
        <is>
          <t>[D] 정상 트래픽 정의 및 생성 (오탐 측정 기준)</t>
        </is>
      </c>
      <c r="D56" s="61" t="inlineStr">
        <is>
          <t>D</t>
        </is>
      </c>
      <c r="E56" s="50" t="inlineStr">
        <is>
          <t>한성민</t>
        </is>
      </c>
      <c r="F56" s="50" t="inlineStr">
        <is>
          <t>미착수</t>
        </is>
      </c>
      <c r="G56" s="72" t="n">
        <v>46295</v>
      </c>
      <c r="H56" s="72" t="n">
        <v>46297</v>
      </c>
      <c r="I56" s="50">
        <f>IF(AND(G56&lt;&gt;"",H56&lt;&gt;""),H56-G56+1,"")</f>
        <v/>
      </c>
      <c r="J56" s="50" t="inlineStr">
        <is>
          <t>소스코드 · 정의서</t>
        </is>
      </c>
      <c r="K56" s="50" t="inlineStr">
        <is>
          <t>★</t>
        </is>
      </c>
      <c r="L56" s="50" t="n">
        <v>1</v>
      </c>
    </row>
    <row r="57" ht="18" customHeight="1">
      <c r="A57" s="49" t="inlineStr">
        <is>
          <t>3.8</t>
        </is>
      </c>
      <c r="B57" s="50" t="inlineStr">
        <is>
          <t>개발</t>
        </is>
      </c>
      <c r="C57" s="51" t="inlineStr">
        <is>
          <t>[D] 폐루프 2회차</t>
        </is>
      </c>
      <c r="D57" s="61" t="inlineStr">
        <is>
          <t>D</t>
        </is>
      </c>
      <c r="E57" s="50" t="inlineStr">
        <is>
          <t>한성민</t>
        </is>
      </c>
      <c r="F57" s="50" t="inlineStr">
        <is>
          <t>미착수</t>
        </is>
      </c>
      <c r="G57" s="72" t="n">
        <v>46297</v>
      </c>
      <c r="H57" s="72" t="n">
        <v>46303</v>
      </c>
      <c r="I57" s="50">
        <f>IF(AND(G57&lt;&gt;"",H57&lt;&gt;""),H57-G57+1,"")</f>
        <v/>
      </c>
      <c r="J57" s="50" t="inlineStr">
        <is>
          <t>평가 결과표</t>
        </is>
      </c>
      <c r="K57" s="50" t="inlineStr">
        <is>
          <t>★</t>
        </is>
      </c>
      <c r="L57" s="50" t="n">
        <v>1</v>
      </c>
    </row>
    <row r="58" ht="18" customHeight="1">
      <c r="A58" s="57" t="inlineStr">
        <is>
          <t>3.8.1</t>
        </is>
      </c>
      <c r="B58" s="57" t="n"/>
      <c r="C58" s="58" t="inlineStr">
        <is>
          <t xml:space="preserve">    ▸ 규칙 v2 인시던트 판정 (잔여 22건)</t>
        </is>
      </c>
      <c r="D58" s="61" t="inlineStr">
        <is>
          <t>D</t>
        </is>
      </c>
      <c r="E58" s="57" t="inlineStr">
        <is>
          <t>한성민</t>
        </is>
      </c>
      <c r="F58" s="57" t="inlineStr">
        <is>
          <t>미착수</t>
        </is>
      </c>
      <c r="G58" s="73" t="n">
        <v>46297</v>
      </c>
      <c r="H58" s="73" t="n">
        <v>46299</v>
      </c>
      <c r="I58" s="57">
        <f>IF(AND(G58&lt;&gt;"",H58&lt;&gt;""),H58-G58+1,"")</f>
        <v/>
      </c>
      <c r="J58" s="57" t="inlineStr">
        <is>
          <t>판정 이력</t>
        </is>
      </c>
      <c r="K58" s="57" t="inlineStr">
        <is>
          <t>★</t>
        </is>
      </c>
      <c r="L58" s="57" t="n">
        <v>2</v>
      </c>
    </row>
    <row r="59" ht="18" customHeight="1">
      <c r="A59" s="57" t="inlineStr">
        <is>
          <t>3.8.2</t>
        </is>
      </c>
      <c r="B59" s="57" t="n"/>
      <c r="C59" s="58" t="inlineStr">
        <is>
          <t xml:space="preserve">    ▸ 디코이 규칙 후보 → 콘솔 로그 리플레이</t>
        </is>
      </c>
      <c r="D59" s="61" t="inlineStr">
        <is>
          <t>D</t>
        </is>
      </c>
      <c r="E59" s="57" t="inlineStr">
        <is>
          <t>한성민</t>
        </is>
      </c>
      <c r="F59" s="57" t="inlineStr">
        <is>
          <t>미착수</t>
        </is>
      </c>
      <c r="G59" s="73" t="n">
        <v>46299</v>
      </c>
      <c r="H59" s="73" t="n">
        <v>46301</v>
      </c>
      <c r="I59" s="57">
        <f>IF(AND(G59&lt;&gt;"",H59&lt;&gt;""),H59-G59+1,"")</f>
        <v/>
      </c>
      <c r="J59" s="57" t="inlineStr">
        <is>
          <t>평가 결과표</t>
        </is>
      </c>
      <c r="K59" s="57" t="inlineStr">
        <is>
          <t>★</t>
        </is>
      </c>
      <c r="L59" s="57" t="n">
        <v>2</v>
      </c>
    </row>
    <row r="60" ht="18" customHeight="1">
      <c r="A60" s="57" t="inlineStr">
        <is>
          <t>3.8.3</t>
        </is>
      </c>
      <c r="B60" s="57" t="n"/>
      <c r="C60" s="58" t="inlineStr">
        <is>
          <t xml:space="preserve">    ▸ 규칙 v3 도출 및 동일 구간 재적용 비교</t>
        </is>
      </c>
      <c r="D60" s="61" t="inlineStr">
        <is>
          <t>D</t>
        </is>
      </c>
      <c r="E60" s="57" t="inlineStr">
        <is>
          <t>한성민</t>
        </is>
      </c>
      <c r="F60" s="57" t="inlineStr">
        <is>
          <t>미착수</t>
        </is>
      </c>
      <c r="G60" s="73" t="n">
        <v>46301</v>
      </c>
      <c r="H60" s="73" t="n">
        <v>46302</v>
      </c>
      <c r="I60" s="57">
        <f>IF(AND(G60&lt;&gt;"",H60&lt;&gt;""),H60-G60+1,"")</f>
        <v/>
      </c>
      <c r="J60" s="57" t="inlineStr">
        <is>
          <t>평가 결과표</t>
        </is>
      </c>
      <c r="K60" s="57" t="inlineStr">
        <is>
          <t>★</t>
        </is>
      </c>
      <c r="L60" s="57" t="n">
        <v>2</v>
      </c>
    </row>
    <row r="61" ht="18" customHeight="1">
      <c r="A61" s="57" t="inlineStr">
        <is>
          <t>3.8.4</t>
        </is>
      </c>
      <c r="B61" s="57" t="n"/>
      <c r="C61" s="58" t="inlineStr">
        <is>
          <t xml:space="preserve">    ▸ 재현율 · 오탐률 산출 및 해석</t>
        </is>
      </c>
      <c r="D61" s="61" t="inlineStr">
        <is>
          <t>D</t>
        </is>
      </c>
      <c r="E61" s="57" t="inlineStr">
        <is>
          <t>한성민</t>
        </is>
      </c>
      <c r="F61" s="57" t="inlineStr">
        <is>
          <t>미착수</t>
        </is>
      </c>
      <c r="G61" s="73" t="n">
        <v>46302</v>
      </c>
      <c r="H61" s="73" t="n">
        <v>46303</v>
      </c>
      <c r="I61" s="57">
        <f>IF(AND(G61&lt;&gt;"",H61&lt;&gt;""),H61-G61+1,"")</f>
        <v/>
      </c>
      <c r="J61" s="57" t="inlineStr">
        <is>
          <t>평가 결과표</t>
        </is>
      </c>
      <c r="K61" s="57" t="inlineStr">
        <is>
          <t>★</t>
        </is>
      </c>
      <c r="L61" s="57" t="n">
        <v>2</v>
      </c>
    </row>
    <row r="62" ht="18" customHeight="1">
      <c r="A62" s="49" t="inlineStr">
        <is>
          <t>3.9</t>
        </is>
      </c>
      <c r="B62" s="50" t="inlineStr">
        <is>
          <t>개발</t>
        </is>
      </c>
      <c r="C62" s="51" t="inlineStr">
        <is>
          <t>[A] 자동 차단 (fail2ban 연동 · 만료 · 감사 기록)</t>
        </is>
      </c>
      <c r="D62" s="55" t="inlineStr">
        <is>
          <t>A</t>
        </is>
      </c>
      <c r="E62" s="50" t="inlineStr">
        <is>
          <t>한성민</t>
        </is>
      </c>
      <c r="F62" s="50" t="inlineStr">
        <is>
          <t>미착수</t>
        </is>
      </c>
      <c r="G62" s="72" t="n">
        <v>46300</v>
      </c>
      <c r="H62" s="72" t="n">
        <v>46302</v>
      </c>
      <c r="I62" s="50">
        <f>IF(AND(G62&lt;&gt;"",H62&lt;&gt;""),H62-G62+1,"")</f>
        <v/>
      </c>
      <c r="J62" s="50" t="inlineStr">
        <is>
          <t>소스코드</t>
        </is>
      </c>
      <c r="K62" s="50" t="n"/>
      <c r="L62" s="50" t="n">
        <v>1</v>
      </c>
    </row>
    <row r="63" ht="18" customHeight="1">
      <c r="A63" s="49" t="inlineStr">
        <is>
          <t>3.10</t>
        </is>
      </c>
      <c r="B63" s="50" t="inlineStr">
        <is>
          <t>개발</t>
        </is>
      </c>
      <c r="C63" s="51" t="inlineStr">
        <is>
          <t>[D] 운영 부담 지표 산출 (판정 시간 · 미판정 잔량)</t>
        </is>
      </c>
      <c r="D63" s="61" t="inlineStr">
        <is>
          <t>D</t>
        </is>
      </c>
      <c r="E63" s="50" t="inlineStr">
        <is>
          <t>한성민</t>
        </is>
      </c>
      <c r="F63" s="50" t="inlineStr">
        <is>
          <t>미착수</t>
        </is>
      </c>
      <c r="G63" s="72" t="n">
        <v>46303</v>
      </c>
      <c r="H63" s="72" t="n">
        <v>46304</v>
      </c>
      <c r="I63" s="50">
        <f>IF(AND(G63&lt;&gt;"",H63&lt;&gt;""),H63-G63+1,"")</f>
        <v/>
      </c>
      <c r="J63" s="50" t="inlineStr">
        <is>
          <t>지표 산출표</t>
        </is>
      </c>
      <c r="K63" s="50" t="n"/>
      <c r="L63" s="50" t="n">
        <v>1</v>
      </c>
    </row>
    <row r="64" ht="18" customHeight="1">
      <c r="A64" s="49" t="inlineStr">
        <is>
          <t>3.11</t>
        </is>
      </c>
      <c r="B64" s="50" t="inlineStr">
        <is>
          <t>개발</t>
        </is>
      </c>
      <c r="C64" s="51" t="inlineStr">
        <is>
          <t>[A] 백업 · 복구 절차 구성</t>
        </is>
      </c>
      <c r="D64" s="55" t="inlineStr">
        <is>
          <t>A</t>
        </is>
      </c>
      <c r="E64" s="50" t="inlineStr">
        <is>
          <t>한성민</t>
        </is>
      </c>
      <c r="F64" s="50" t="inlineStr">
        <is>
          <t>미착수</t>
        </is>
      </c>
      <c r="G64" s="72" t="n">
        <v>46301</v>
      </c>
      <c r="H64" s="72" t="n">
        <v>46302</v>
      </c>
      <c r="I64" s="50">
        <f>IF(AND(G64&lt;&gt;"",H64&lt;&gt;""),H64-G64+1,"")</f>
        <v/>
      </c>
      <c r="J64" s="50" t="inlineStr">
        <is>
          <t>백업 스크립트</t>
        </is>
      </c>
      <c r="K64" s="50" t="n"/>
      <c r="L64" s="50" t="n">
        <v>1</v>
      </c>
    </row>
    <row r="65" ht="18" customHeight="1">
      <c r="A65" s="47" t="inlineStr">
        <is>
          <t>4.0</t>
        </is>
      </c>
      <c r="B65" s="47" t="inlineStr">
        <is>
          <t>테스트</t>
        </is>
      </c>
      <c r="C65" s="48" t="inlineStr">
        <is>
          <t>[테스트 단계]</t>
        </is>
      </c>
      <c r="D65" s="47" t="n"/>
      <c r="E65" s="47" t="n"/>
      <c r="F65" s="47" t="n"/>
      <c r="G65" s="47" t="n"/>
      <c r="H65" s="47" t="n"/>
      <c r="I65" s="47" t="n"/>
      <c r="J65" s="47" t="n"/>
      <c r="K65" s="47" t="n"/>
      <c r="L65" s="47" t="n">
        <v>0</v>
      </c>
    </row>
    <row r="66" ht="18" customHeight="1">
      <c r="A66" s="49" t="inlineStr">
        <is>
          <t>4.1</t>
        </is>
      </c>
      <c r="B66" s="50" t="inlineStr">
        <is>
          <t>테스트</t>
        </is>
      </c>
      <c r="C66" s="51" t="inlineStr">
        <is>
          <t>단위 테스트 수행 및 결과 정리</t>
        </is>
      </c>
      <c r="D66" s="52" t="inlineStr">
        <is>
          <t>-</t>
        </is>
      </c>
      <c r="E66" s="50" t="inlineStr">
        <is>
          <t>한성민</t>
        </is>
      </c>
      <c r="F66" s="50" t="inlineStr">
        <is>
          <t>미착수</t>
        </is>
      </c>
      <c r="G66" s="72" t="n">
        <v>46287</v>
      </c>
      <c r="H66" s="72" t="n">
        <v>46305</v>
      </c>
      <c r="I66" s="50">
        <f>IF(AND(G66&lt;&gt;"",H66&lt;&gt;""),H66-G66+1,"")</f>
        <v/>
      </c>
      <c r="J66" s="50" t="inlineStr">
        <is>
          <t>단위테스트 결과서</t>
        </is>
      </c>
      <c r="K66" s="50" t="n"/>
      <c r="L66" s="50" t="n">
        <v>1</v>
      </c>
    </row>
    <row r="67" ht="18" customHeight="1">
      <c r="A67" s="49" t="inlineStr">
        <is>
          <t>4.2</t>
        </is>
      </c>
      <c r="B67" s="50" t="inlineStr">
        <is>
          <t>테스트</t>
        </is>
      </c>
      <c r="C67" s="51" t="inlineStr">
        <is>
          <t>방화벽 규칙 검증 (DMZ→내부 차단 · 포트 확인)</t>
        </is>
      </c>
      <c r="D67" s="55" t="inlineStr">
        <is>
          <t>A</t>
        </is>
      </c>
      <c r="E67" s="50" t="inlineStr">
        <is>
          <t>한성민</t>
        </is>
      </c>
      <c r="F67" s="50" t="inlineStr">
        <is>
          <t>미착수</t>
        </is>
      </c>
      <c r="G67" s="72" t="n">
        <v>46303</v>
      </c>
      <c r="H67" s="72" t="n">
        <v>46304</v>
      </c>
      <c r="I67" s="50">
        <f>IF(AND(G67&lt;&gt;"",H67&lt;&gt;""),H67-G67+1,"")</f>
        <v/>
      </c>
      <c r="J67" s="50" t="inlineStr">
        <is>
          <t>검증 결과서</t>
        </is>
      </c>
      <c r="K67" s="50" t="inlineStr">
        <is>
          <t>★</t>
        </is>
      </c>
      <c r="L67" s="50" t="n">
        <v>1</v>
      </c>
    </row>
    <row r="68" ht="18" customHeight="1">
      <c r="A68" s="49" t="inlineStr">
        <is>
          <t>4.3</t>
        </is>
      </c>
      <c r="B68" s="50" t="inlineStr">
        <is>
          <t>테스트</t>
        </is>
      </c>
      <c r="C68" s="51" t="inlineStr">
        <is>
          <t>통합 테스트 (수집→탐지→판정→환류)</t>
        </is>
      </c>
      <c r="D68" s="52" t="inlineStr">
        <is>
          <t>-</t>
        </is>
      </c>
      <c r="E68" s="50" t="inlineStr">
        <is>
          <t>한성민</t>
        </is>
      </c>
      <c r="F68" s="50" t="inlineStr">
        <is>
          <t>미착수</t>
        </is>
      </c>
      <c r="G68" s="72" t="n">
        <v>46304</v>
      </c>
      <c r="H68" s="72" t="n">
        <v>46305</v>
      </c>
      <c r="I68" s="50">
        <f>IF(AND(G68&lt;&gt;"",H68&lt;&gt;""),H68-G68+1,"")</f>
        <v/>
      </c>
      <c r="J68" s="50" t="inlineStr">
        <is>
          <t>통합테스트 결과서</t>
        </is>
      </c>
      <c r="K68" s="50" t="inlineStr">
        <is>
          <t>★</t>
        </is>
      </c>
      <c r="L68" s="50" t="n">
        <v>1</v>
      </c>
    </row>
    <row r="69" ht="18" customHeight="1">
      <c r="A69" s="49" t="inlineStr">
        <is>
          <t>4.4</t>
        </is>
      </c>
      <c r="B69" s="50" t="inlineStr">
        <is>
          <t>테스트</t>
        </is>
      </c>
      <c r="C69" s="51" t="inlineStr">
        <is>
          <t>장애 주입 시험 (콘솔 강제 종료 · 전환 시간 측정)</t>
        </is>
      </c>
      <c r="D69" s="55" t="inlineStr">
        <is>
          <t>A</t>
        </is>
      </c>
      <c r="E69" s="50" t="inlineStr">
        <is>
          <t>한성민</t>
        </is>
      </c>
      <c r="F69" s="50" t="inlineStr">
        <is>
          <t>미착수</t>
        </is>
      </c>
      <c r="G69" s="72" t="n">
        <v>46304</v>
      </c>
      <c r="H69" s="72" t="n">
        <v>46305</v>
      </c>
      <c r="I69" s="50">
        <f>IF(AND(G69&lt;&gt;"",H69&lt;&gt;""),H69-G69+1,"")</f>
        <v/>
      </c>
      <c r="J69" s="50" t="inlineStr">
        <is>
          <t>장애 시험 결과서</t>
        </is>
      </c>
      <c r="K69" s="50" t="inlineStr">
        <is>
          <t>★</t>
        </is>
      </c>
      <c r="L69" s="50" t="n">
        <v>1</v>
      </c>
    </row>
    <row r="70" ht="18" customHeight="1">
      <c r="A70" s="49" t="inlineStr">
        <is>
          <t>4.5</t>
        </is>
      </c>
      <c r="B70" s="50" t="inlineStr">
        <is>
          <t>테스트</t>
        </is>
      </c>
      <c r="C70" s="51" t="inlineStr">
        <is>
          <t>백업 복원 훈련 (RTO 실측)</t>
        </is>
      </c>
      <c r="D70" s="55" t="inlineStr">
        <is>
          <t>A</t>
        </is>
      </c>
      <c r="E70" s="50" t="inlineStr">
        <is>
          <t>한성민</t>
        </is>
      </c>
      <c r="F70" s="50" t="inlineStr">
        <is>
          <t>미착수</t>
        </is>
      </c>
      <c r="G70" s="72" t="n">
        <v>46305</v>
      </c>
      <c r="H70" s="72" t="n">
        <v>46306</v>
      </c>
      <c r="I70" s="50">
        <f>IF(AND(G70&lt;&gt;"",H70&lt;&gt;""),H70-G70+1,"")</f>
        <v/>
      </c>
      <c r="J70" s="50" t="inlineStr">
        <is>
          <t>복원 훈련 기록</t>
        </is>
      </c>
      <c r="K70" s="50" t="n"/>
      <c r="L70" s="50" t="n">
        <v>1</v>
      </c>
    </row>
    <row r="71" ht="18" customHeight="1">
      <c r="A71" s="49" t="inlineStr">
        <is>
          <t>4.6</t>
        </is>
      </c>
      <c r="B71" s="50" t="inlineStr">
        <is>
          <t>테스트</t>
        </is>
      </c>
      <c r="C71" s="51" t="inlineStr">
        <is>
          <t>시연 시나리오 리허설 및 녹화</t>
        </is>
      </c>
      <c r="D71" s="52" t="inlineStr">
        <is>
          <t>-</t>
        </is>
      </c>
      <c r="E71" s="50" t="inlineStr">
        <is>
          <t>한성민</t>
        </is>
      </c>
      <c r="F71" s="50" t="inlineStr">
        <is>
          <t>미착수</t>
        </is>
      </c>
      <c r="G71" s="72" t="n">
        <v>46306</v>
      </c>
      <c r="H71" s="72" t="n">
        <v>46308</v>
      </c>
      <c r="I71" s="50">
        <f>IF(AND(G71&lt;&gt;"",H71&lt;&gt;""),H71-G71+1,"")</f>
        <v/>
      </c>
      <c r="J71" s="50" t="inlineStr">
        <is>
          <t>시연 시나리오 · 녹화본</t>
        </is>
      </c>
      <c r="K71" s="50" t="inlineStr">
        <is>
          <t>★</t>
        </is>
      </c>
      <c r="L71" s="50" t="n">
        <v>1</v>
      </c>
    </row>
    <row r="72" ht="18" customHeight="1">
      <c r="A72" s="47" t="inlineStr">
        <is>
          <t>5.0</t>
        </is>
      </c>
      <c r="B72" s="47" t="inlineStr">
        <is>
          <t>문서화</t>
        </is>
      </c>
      <c r="C72" s="48" t="inlineStr">
        <is>
          <t>[문서화 단계]</t>
        </is>
      </c>
      <c r="D72" s="47" t="n"/>
      <c r="E72" s="47" t="n"/>
      <c r="F72" s="47" t="n"/>
      <c r="G72" s="47" t="n"/>
      <c r="H72" s="47" t="n"/>
      <c r="I72" s="47" t="n"/>
      <c r="J72" s="47" t="n"/>
      <c r="K72" s="47" t="n"/>
      <c r="L72" s="47" t="n">
        <v>0</v>
      </c>
    </row>
    <row r="73" ht="18" customHeight="1">
      <c r="A73" s="49" t="inlineStr">
        <is>
          <t>5.1</t>
        </is>
      </c>
      <c r="B73" s="50" t="inlineStr">
        <is>
          <t>문서화</t>
        </is>
      </c>
      <c r="C73" s="51" t="inlineStr">
        <is>
          <t>WBS v2.0</t>
        </is>
      </c>
      <c r="D73" s="52" t="inlineStr">
        <is>
          <t>-</t>
        </is>
      </c>
      <c r="E73" s="50" t="inlineStr">
        <is>
          <t>한성민</t>
        </is>
      </c>
      <c r="F73" s="50" t="inlineStr">
        <is>
          <t>진행중</t>
        </is>
      </c>
      <c r="G73" s="72" t="n">
        <v>46283</v>
      </c>
      <c r="H73" s="72" t="n">
        <v>46311</v>
      </c>
      <c r="I73" s="50">
        <f>IF(AND(G73&lt;&gt;"",H73&lt;&gt;""),H73-G73+1,"")</f>
        <v/>
      </c>
      <c r="J73" s="50" t="n"/>
      <c r="K73" s="50" t="n"/>
      <c r="L73" s="50" t="n">
        <v>1</v>
      </c>
    </row>
    <row r="74" ht="18" customHeight="1">
      <c r="A74" s="49" t="inlineStr">
        <is>
          <t>5.2</t>
        </is>
      </c>
      <c r="B74" s="50" t="inlineStr">
        <is>
          <t>문서화</t>
        </is>
      </c>
      <c r="C74" s="51" t="inlineStr">
        <is>
          <t>작업일지 (일일 누적)</t>
        </is>
      </c>
      <c r="D74" s="52" t="inlineStr">
        <is>
          <t>-</t>
        </is>
      </c>
      <c r="E74" s="50" t="inlineStr">
        <is>
          <t>한성민</t>
        </is>
      </c>
      <c r="F74" s="50" t="inlineStr">
        <is>
          <t>진행중</t>
        </is>
      </c>
      <c r="G74" s="72" t="n">
        <v>46267</v>
      </c>
      <c r="H74" s="72" t="n">
        <v>46311</v>
      </c>
      <c r="I74" s="50">
        <f>IF(AND(G74&lt;&gt;"",H74&lt;&gt;""),H74-G74+1,"")</f>
        <v/>
      </c>
      <c r="J74" s="50" t="n"/>
      <c r="K74" s="50" t="n"/>
      <c r="L74" s="50" t="n">
        <v>1</v>
      </c>
    </row>
    <row r="75" ht="18" customHeight="1">
      <c r="A75" s="49" t="inlineStr">
        <is>
          <t>5.3</t>
        </is>
      </c>
      <c r="B75" s="50" t="inlineStr">
        <is>
          <t>문서화</t>
        </is>
      </c>
      <c r="C75" s="51" t="inlineStr">
        <is>
          <t>시스템 구성도 (전체 · 서버네트워크 · 역할분담)</t>
        </is>
      </c>
      <c r="D75" s="52" t="inlineStr">
        <is>
          <t>-</t>
        </is>
      </c>
      <c r="E75" s="50" t="inlineStr">
        <is>
          <t>한성민</t>
        </is>
      </c>
      <c r="F75" s="50" t="inlineStr">
        <is>
          <t>미착수</t>
        </is>
      </c>
      <c r="G75" s="72" t="n">
        <v>46285</v>
      </c>
      <c r="H75" s="72" t="n">
        <v>46311</v>
      </c>
      <c r="I75" s="50">
        <f>IF(AND(G75&lt;&gt;"",H75&lt;&gt;""),H75-G75+1,"")</f>
        <v/>
      </c>
      <c r="J75" s="50" t="n"/>
      <c r="K75" s="50" t="n"/>
      <c r="L75" s="50" t="n">
        <v>1</v>
      </c>
    </row>
    <row r="76" ht="18" customHeight="1">
      <c r="A76" s="49" t="inlineStr">
        <is>
          <t>5.4</t>
        </is>
      </c>
      <c r="B76" s="50" t="inlineStr">
        <is>
          <t>문서화</t>
        </is>
      </c>
      <c r="C76" s="51" t="inlineStr">
        <is>
          <t>네트워크 설계서 (대역 · 경로 · 방화벽 규칙표)</t>
        </is>
      </c>
      <c r="D76" s="52" t="inlineStr">
        <is>
          <t>-</t>
        </is>
      </c>
      <c r="E76" s="50" t="inlineStr">
        <is>
          <t>한성민</t>
        </is>
      </c>
      <c r="F76" s="50" t="inlineStr">
        <is>
          <t>미착수</t>
        </is>
      </c>
      <c r="G76" s="72" t="n">
        <v>46283</v>
      </c>
      <c r="H76" s="72" t="n">
        <v>46311</v>
      </c>
      <c r="I76" s="50">
        <f>IF(AND(G76&lt;&gt;"",H76&lt;&gt;""),H76-G76+1,"")</f>
        <v/>
      </c>
      <c r="J76" s="50" t="n"/>
      <c r="K76" s="50" t="n"/>
      <c r="L76" s="50" t="n">
        <v>1</v>
      </c>
    </row>
    <row r="77" ht="18" customHeight="1">
      <c r="A77" s="49" t="inlineStr">
        <is>
          <t>5.5</t>
        </is>
      </c>
      <c r="B77" s="50" t="inlineStr">
        <is>
          <t>문서화</t>
        </is>
      </c>
      <c r="C77" s="51" t="inlineStr">
        <is>
          <t>테이블 정의서</t>
        </is>
      </c>
      <c r="D77" s="52" t="inlineStr">
        <is>
          <t>-</t>
        </is>
      </c>
      <c r="E77" s="50" t="inlineStr">
        <is>
          <t>한성민</t>
        </is>
      </c>
      <c r="F77" s="50" t="inlineStr">
        <is>
          <t>진행중</t>
        </is>
      </c>
      <c r="G77" s="72" t="n">
        <v>46269</v>
      </c>
      <c r="H77" s="72" t="n">
        <v>46311</v>
      </c>
      <c r="I77" s="50">
        <f>IF(AND(G77&lt;&gt;"",H77&lt;&gt;""),H77-G77+1,"")</f>
        <v/>
      </c>
      <c r="J77" s="50" t="n"/>
      <c r="K77" s="50" t="n"/>
      <c r="L77" s="50" t="n">
        <v>1</v>
      </c>
    </row>
    <row r="78" ht="18" customHeight="1">
      <c r="A78" s="49" t="inlineStr">
        <is>
          <t>5.6</t>
        </is>
      </c>
      <c r="B78" s="50" t="inlineStr">
        <is>
          <t>문서화</t>
        </is>
      </c>
      <c r="C78" s="51" t="inlineStr">
        <is>
          <t>화면설계서</t>
        </is>
      </c>
      <c r="D78" s="52" t="inlineStr">
        <is>
          <t>-</t>
        </is>
      </c>
      <c r="E78" s="50" t="inlineStr">
        <is>
          <t>한성민</t>
        </is>
      </c>
      <c r="F78" s="50" t="inlineStr">
        <is>
          <t>미착수</t>
        </is>
      </c>
      <c r="G78" s="72" t="n">
        <v>46284</v>
      </c>
      <c r="H78" s="72" t="n">
        <v>46311</v>
      </c>
      <c r="I78" s="50">
        <f>IF(AND(G78&lt;&gt;"",H78&lt;&gt;""),H78-G78+1,"")</f>
        <v/>
      </c>
      <c r="J78" s="50" t="n"/>
      <c r="K78" s="50" t="n"/>
      <c r="L78" s="50" t="n">
        <v>1</v>
      </c>
    </row>
    <row r="79" ht="18" customHeight="1">
      <c r="A79" s="49" t="inlineStr">
        <is>
          <t>5.7</t>
        </is>
      </c>
      <c r="B79" s="50" t="inlineStr">
        <is>
          <t>문서화</t>
        </is>
      </c>
      <c r="C79" s="51" t="inlineStr">
        <is>
          <t>API 스펙 문서 (공통 로그 스키마 포함)</t>
        </is>
      </c>
      <c r="D79" s="52" t="inlineStr">
        <is>
          <t>-</t>
        </is>
      </c>
      <c r="E79" s="50" t="inlineStr">
        <is>
          <t>한성민</t>
        </is>
      </c>
      <c r="F79" s="50" t="inlineStr">
        <is>
          <t>미착수</t>
        </is>
      </c>
      <c r="G79" s="72" t="n">
        <v>46268</v>
      </c>
      <c r="H79" s="72" t="n">
        <v>46311</v>
      </c>
      <c r="I79" s="50">
        <f>IF(AND(G79&lt;&gt;"",H79&lt;&gt;""),H79-G79+1,"")</f>
        <v/>
      </c>
      <c r="J79" s="50" t="n"/>
      <c r="K79" s="50" t="n"/>
      <c r="L79" s="50" t="n">
        <v>1</v>
      </c>
    </row>
    <row r="80" ht="18" customHeight="1">
      <c r="A80" s="49" t="inlineStr">
        <is>
          <t>5.8</t>
        </is>
      </c>
      <c r="B80" s="50" t="inlineStr">
        <is>
          <t>문서화</t>
        </is>
      </c>
      <c r="C80" s="51" t="inlineStr">
        <is>
          <t>프로그램 설계서 (탐지 · 압축 · 폐루프 로직)</t>
        </is>
      </c>
      <c r="D80" s="52" t="inlineStr">
        <is>
          <t>-</t>
        </is>
      </c>
      <c r="E80" s="50" t="inlineStr">
        <is>
          <t>한성민</t>
        </is>
      </c>
      <c r="F80" s="50" t="inlineStr">
        <is>
          <t>미착수</t>
        </is>
      </c>
      <c r="G80" s="72" t="n">
        <v>46270</v>
      </c>
      <c r="H80" s="72" t="n">
        <v>46311</v>
      </c>
      <c r="I80" s="50">
        <f>IF(AND(G80&lt;&gt;"",H80&lt;&gt;""),H80-G80+1,"")</f>
        <v/>
      </c>
      <c r="J80" s="50" t="n"/>
      <c r="K80" s="50" t="n"/>
      <c r="L80" s="50" t="n">
        <v>1</v>
      </c>
    </row>
    <row r="81" ht="18" customHeight="1">
      <c r="A81" s="49" t="inlineStr">
        <is>
          <t>5.9</t>
        </is>
      </c>
      <c r="B81" s="50" t="inlineStr">
        <is>
          <t>문서화</t>
        </is>
      </c>
      <c r="C81" s="51" t="inlineStr">
        <is>
          <t>아키텍처 결정 기록 (ADR)</t>
        </is>
      </c>
      <c r="D81" s="52" t="inlineStr">
        <is>
          <t>-</t>
        </is>
      </c>
      <c r="E81" s="50" t="inlineStr">
        <is>
          <t>한성민</t>
        </is>
      </c>
      <c r="F81" s="50" t="inlineStr">
        <is>
          <t>진행중</t>
        </is>
      </c>
      <c r="G81" s="72" t="n">
        <v>46267</v>
      </c>
      <c r="H81" s="72" t="n">
        <v>46311</v>
      </c>
      <c r="I81" s="50">
        <f>IF(AND(G81&lt;&gt;"",H81&lt;&gt;""),H81-G81+1,"")</f>
        <v/>
      </c>
      <c r="J81" s="50" t="n"/>
      <c r="K81" s="50" t="n"/>
      <c r="L81" s="50" t="n">
        <v>1</v>
      </c>
    </row>
    <row r="82" ht="18" customHeight="1">
      <c r="A82" s="49" t="inlineStr">
        <is>
          <t>5.10</t>
        </is>
      </c>
      <c r="B82" s="50" t="inlineStr">
        <is>
          <t>문서화</t>
        </is>
      </c>
      <c r="C82" s="51" t="inlineStr">
        <is>
          <t>소스코드 (주요 모듈 정리)</t>
        </is>
      </c>
      <c r="D82" s="52" t="inlineStr">
        <is>
          <t>-</t>
        </is>
      </c>
      <c r="E82" s="50" t="inlineStr">
        <is>
          <t>한성민</t>
        </is>
      </c>
      <c r="F82" s="50" t="inlineStr">
        <is>
          <t>진행중</t>
        </is>
      </c>
      <c r="G82" s="72" t="n">
        <v>46274</v>
      </c>
      <c r="H82" s="72" t="n">
        <v>46311</v>
      </c>
      <c r="I82" s="50">
        <f>IF(AND(G82&lt;&gt;"",H82&lt;&gt;""),H82-G82+1,"")</f>
        <v/>
      </c>
      <c r="J82" s="50" t="n"/>
      <c r="K82" s="50" t="n"/>
      <c r="L82" s="50" t="n">
        <v>1</v>
      </c>
    </row>
    <row r="83" ht="18" customHeight="1">
      <c r="A83" s="49" t="inlineStr">
        <is>
          <t>5.11</t>
        </is>
      </c>
      <c r="B83" s="50" t="inlineStr">
        <is>
          <t>문서화</t>
        </is>
      </c>
      <c r="C83" s="51" t="inlineStr">
        <is>
          <t>운영 런북 (장애 유형별 대응 절차)</t>
        </is>
      </c>
      <c r="D83" s="52" t="inlineStr">
        <is>
          <t>-</t>
        </is>
      </c>
      <c r="E83" s="50" t="inlineStr">
        <is>
          <t>한성민</t>
        </is>
      </c>
      <c r="F83" s="50" t="inlineStr">
        <is>
          <t>미착수</t>
        </is>
      </c>
      <c r="G83" s="72" t="n">
        <v>46290</v>
      </c>
      <c r="H83" s="72" t="n">
        <v>46311</v>
      </c>
      <c r="I83" s="50">
        <f>IF(AND(G83&lt;&gt;"",H83&lt;&gt;""),H83-G83+1,"")</f>
        <v/>
      </c>
      <c r="J83" s="50" t="n"/>
      <c r="K83" s="50" t="n"/>
      <c r="L83" s="50" t="n">
        <v>1</v>
      </c>
    </row>
    <row r="84" ht="18" customHeight="1">
      <c r="A84" s="49" t="inlineStr">
        <is>
          <t>5.12</t>
        </is>
      </c>
      <c r="B84" s="50" t="inlineStr">
        <is>
          <t>문서화</t>
        </is>
      </c>
      <c r="C84" s="51" t="inlineStr">
        <is>
          <t>사용자 매뉴얼 (관제 담당자용)</t>
        </is>
      </c>
      <c r="D84" s="52" t="inlineStr">
        <is>
          <t>-</t>
        </is>
      </c>
      <c r="E84" s="50" t="inlineStr">
        <is>
          <t>한성민</t>
        </is>
      </c>
      <c r="F84" s="50" t="inlineStr">
        <is>
          <t>미착수</t>
        </is>
      </c>
      <c r="G84" s="72" t="n">
        <v>46301</v>
      </c>
      <c r="H84" s="72" t="n">
        <v>46311</v>
      </c>
      <c r="I84" s="50">
        <f>IF(AND(G84&lt;&gt;"",H84&lt;&gt;""),H84-G84+1,"")</f>
        <v/>
      </c>
      <c r="J84" s="50" t="n"/>
      <c r="K84" s="50" t="n"/>
      <c r="L84" s="50" t="n">
        <v>1</v>
      </c>
    </row>
    <row r="85" ht="18" customHeight="1">
      <c r="A85" s="49" t="inlineStr">
        <is>
          <t>5.13</t>
        </is>
      </c>
      <c r="B85" s="50" t="inlineStr">
        <is>
          <t>문서화</t>
        </is>
      </c>
      <c r="C85" s="51" t="inlineStr">
        <is>
          <t>테스트 결과서 (단위 · 통합 · 장애주입 · 복원)</t>
        </is>
      </c>
      <c r="D85" s="52" t="inlineStr">
        <is>
          <t>-</t>
        </is>
      </c>
      <c r="E85" s="50" t="inlineStr">
        <is>
          <t>한성민</t>
        </is>
      </c>
      <c r="F85" s="50" t="inlineStr">
        <is>
          <t>미착수</t>
        </is>
      </c>
      <c r="G85" s="72" t="n">
        <v>46287</v>
      </c>
      <c r="H85" s="72" t="n">
        <v>46311</v>
      </c>
      <c r="I85" s="50">
        <f>IF(AND(G85&lt;&gt;"",H85&lt;&gt;""),H85-G85+1,"")</f>
        <v/>
      </c>
      <c r="J85" s="50" t="n"/>
      <c r="K85" s="50" t="n"/>
      <c r="L85" s="50" t="n">
        <v>1</v>
      </c>
    </row>
    <row r="86" ht="18" customHeight="1">
      <c r="A86" s="49" t="inlineStr">
        <is>
          <t>5.14</t>
        </is>
      </c>
      <c r="B86" s="50" t="inlineStr">
        <is>
          <t>문서화</t>
        </is>
      </c>
      <c r="C86" s="51" t="inlineStr">
        <is>
          <t>폐루프 회차 기록 · 리플레이 결과표</t>
        </is>
      </c>
      <c r="D86" s="52" t="inlineStr">
        <is>
          <t>-</t>
        </is>
      </c>
      <c r="E86" s="50" t="inlineStr">
        <is>
          <t>한성민</t>
        </is>
      </c>
      <c r="F86" s="50" t="inlineStr">
        <is>
          <t>진행중</t>
        </is>
      </c>
      <c r="G86" s="72" t="n">
        <v>46273</v>
      </c>
      <c r="H86" s="72" t="n">
        <v>46311</v>
      </c>
      <c r="I86" s="50">
        <f>IF(AND(G86&lt;&gt;"",H86&lt;&gt;""),H86-G86+1,"")</f>
        <v/>
      </c>
      <c r="J86" s="50" t="n"/>
      <c r="K86" s="50" t="n"/>
      <c r="L86" s="50" t="n">
        <v>1</v>
      </c>
    </row>
    <row r="87" ht="18" customHeight="1">
      <c r="A87" s="49" t="inlineStr">
        <is>
          <t>5.15</t>
        </is>
      </c>
      <c r="B87" s="50" t="inlineStr">
        <is>
          <t>문서화</t>
        </is>
      </c>
      <c r="C87" s="51" t="inlineStr">
        <is>
          <t>허니팟 · 디코이 관측 결과 보고</t>
        </is>
      </c>
      <c r="D87" s="52" t="inlineStr">
        <is>
          <t>-</t>
        </is>
      </c>
      <c r="E87" s="50" t="inlineStr">
        <is>
          <t>한성민</t>
        </is>
      </c>
      <c r="F87" s="50" t="inlineStr">
        <is>
          <t>진행중</t>
        </is>
      </c>
      <c r="G87" s="72" t="n">
        <v>46281</v>
      </c>
      <c r="H87" s="72" t="n">
        <v>46311</v>
      </c>
      <c r="I87" s="50">
        <f>IF(AND(G87&lt;&gt;"",H87&lt;&gt;""),H87-G87+1,"")</f>
        <v/>
      </c>
      <c r="J87" s="50" t="n"/>
      <c r="K87" s="50" t="n"/>
      <c r="L87" s="50" t="n">
        <v>1</v>
      </c>
    </row>
    <row r="88" ht="18" customHeight="1">
      <c r="A88" s="49" t="inlineStr">
        <is>
          <t>5.16</t>
        </is>
      </c>
      <c r="B88" s="50" t="inlineStr">
        <is>
          <t>문서화</t>
        </is>
      </c>
      <c r="C88" s="51" t="inlineStr">
        <is>
          <t>종료보고서</t>
        </is>
      </c>
      <c r="D88" s="52" t="inlineStr">
        <is>
          <t>-</t>
        </is>
      </c>
      <c r="E88" s="50" t="inlineStr">
        <is>
          <t>한성민</t>
        </is>
      </c>
      <c r="F88" s="50" t="inlineStr">
        <is>
          <t>미착수</t>
        </is>
      </c>
      <c r="G88" s="72" t="n">
        <v>46308</v>
      </c>
      <c r="H88" s="72" t="n">
        <v>46311</v>
      </c>
      <c r="I88" s="50">
        <f>IF(AND(G88&lt;&gt;"",H88&lt;&gt;""),H88-G88+1,"")</f>
        <v/>
      </c>
      <c r="J88" s="50" t="n"/>
      <c r="K88" s="50" t="n"/>
      <c r="L88" s="50" t="n">
        <v>1</v>
      </c>
    </row>
    <row r="89" ht="18" customHeight="1">
      <c r="A89" s="47" t="inlineStr">
        <is>
          <t>6.0</t>
        </is>
      </c>
      <c r="B89" s="47" t="inlineStr">
        <is>
          <t>발표</t>
        </is>
      </c>
      <c r="C89" s="48" t="inlineStr">
        <is>
          <t>[발표 단계]</t>
        </is>
      </c>
      <c r="D89" s="47" t="n"/>
      <c r="E89" s="47" t="n"/>
      <c r="F89" s="47" t="n"/>
      <c r="G89" s="47" t="n"/>
      <c r="H89" s="47" t="n"/>
      <c r="I89" s="47" t="n"/>
      <c r="J89" s="47" t="n"/>
      <c r="K89" s="47" t="n"/>
      <c r="L89" s="47" t="n">
        <v>0</v>
      </c>
    </row>
    <row r="90" ht="18" customHeight="1">
      <c r="A90" s="49" t="inlineStr">
        <is>
          <t>6.1</t>
        </is>
      </c>
      <c r="B90" s="50" t="inlineStr">
        <is>
          <t>발표</t>
        </is>
      </c>
      <c r="C90" s="51" t="inlineStr">
        <is>
          <t>발표자료(PPT) 작성</t>
        </is>
      </c>
      <c r="D90" s="52" t="inlineStr">
        <is>
          <t>-</t>
        </is>
      </c>
      <c r="E90" s="50" t="inlineStr">
        <is>
          <t>한성민</t>
        </is>
      </c>
      <c r="F90" s="50" t="inlineStr">
        <is>
          <t>미착수</t>
        </is>
      </c>
      <c r="G90" s="72" t="n">
        <v>46308</v>
      </c>
      <c r="H90" s="72" t="n">
        <v>46310</v>
      </c>
      <c r="I90" s="50">
        <f>IF(AND(G90&lt;&gt;"",H90&lt;&gt;""),H90-G90+1,"")</f>
        <v/>
      </c>
      <c r="J90" s="50" t="inlineStr">
        <is>
          <t>발표자료</t>
        </is>
      </c>
      <c r="K90" s="50" t="inlineStr">
        <is>
          <t>★</t>
        </is>
      </c>
      <c r="L90" s="50" t="n">
        <v>1</v>
      </c>
    </row>
    <row r="91" ht="18" customHeight="1">
      <c r="A91" s="49" t="inlineStr">
        <is>
          <t>6.2</t>
        </is>
      </c>
      <c r="B91" s="50" t="inlineStr">
        <is>
          <t>발표</t>
        </is>
      </c>
      <c r="C91" s="51" t="inlineStr">
        <is>
          <t>산출물 최종 취합 및 제출</t>
        </is>
      </c>
      <c r="D91" s="52" t="inlineStr">
        <is>
          <t>-</t>
        </is>
      </c>
      <c r="E91" s="50" t="inlineStr">
        <is>
          <t>한성민</t>
        </is>
      </c>
      <c r="F91" s="50" t="inlineStr">
        <is>
          <t>미착수</t>
        </is>
      </c>
      <c r="G91" s="72" t="n">
        <v>46309</v>
      </c>
      <c r="H91" s="72" t="n">
        <v>46311</v>
      </c>
      <c r="I91" s="50">
        <f>IF(AND(G91&lt;&gt;"",H91&lt;&gt;""),H91-G91+1,"")</f>
        <v/>
      </c>
      <c r="J91" s="50" t="inlineStr">
        <is>
          <t>전체 산출물</t>
        </is>
      </c>
      <c r="K91" s="50" t="inlineStr">
        <is>
          <t>★</t>
        </is>
      </c>
      <c r="L91" s="50" t="n">
        <v>1</v>
      </c>
    </row>
    <row r="92" ht="18" customHeight="1">
      <c r="A92" s="49" t="inlineStr">
        <is>
          <t>6.3</t>
        </is>
      </c>
      <c r="B92" s="50" t="inlineStr">
        <is>
          <t>발표</t>
        </is>
      </c>
      <c r="C92" s="51" t="inlineStr">
        <is>
          <t>최종 발표 및 시연</t>
        </is>
      </c>
      <c r="D92" s="52" t="inlineStr">
        <is>
          <t>-</t>
        </is>
      </c>
      <c r="E92" s="50" t="inlineStr">
        <is>
          <t>한성민</t>
        </is>
      </c>
      <c r="F92" s="50" t="inlineStr">
        <is>
          <t>미착수</t>
        </is>
      </c>
      <c r="G92" s="72" t="n">
        <v>46311</v>
      </c>
      <c r="H92" s="72" t="n">
        <v>46311</v>
      </c>
      <c r="I92" s="50">
        <f>IF(AND(G92&lt;&gt;"",H92&lt;&gt;""),H92-G92+1,"")</f>
        <v/>
      </c>
      <c r="J92" s="50" t="inlineStr">
        <is>
          <t>발표</t>
        </is>
      </c>
      <c r="K92" s="50" t="inlineStr">
        <is>
          <t>★</t>
        </is>
      </c>
      <c r="L92" s="50" t="n">
        <v>1</v>
      </c>
    </row>
    <row r="93" ht="18" customHeight="1">
      <c r="A93" s="49" t="n"/>
      <c r="B93" s="50" t="n"/>
      <c r="C93" s="51" t="n"/>
      <c r="D93" s="56" t="n"/>
      <c r="E93" s="50" t="n"/>
      <c r="F93" s="50" t="n"/>
      <c r="G93" s="72" t="n"/>
      <c r="H93" s="72" t="n"/>
      <c r="I93" s="50" t="n"/>
      <c r="J93" s="50" t="n"/>
      <c r="K93" s="50" t="n"/>
      <c r="L93" s="50" t="n"/>
    </row>
    <row r="94" ht="18" customHeight="1">
      <c r="A94" s="49" t="n"/>
      <c r="B94" s="50" t="n"/>
      <c r="C94" s="51" t="n"/>
      <c r="D94" s="56" t="n"/>
      <c r="E94" s="50" t="n"/>
      <c r="F94" s="50" t="n"/>
      <c r="G94" s="72" t="n"/>
      <c r="H94" s="72" t="n"/>
      <c r="I94" s="50" t="n"/>
      <c r="J94" s="50" t="n"/>
      <c r="K94" s="50" t="n"/>
      <c r="L94" s="50" t="n"/>
    </row>
    <row r="95" ht="18" customHeight="1">
      <c r="A95" s="49" t="n"/>
      <c r="B95" s="50" t="n"/>
      <c r="C95" s="51" t="n"/>
      <c r="D95" s="56" t="n"/>
      <c r="E95" s="50" t="n"/>
      <c r="F95" s="50" t="n"/>
      <c r="G95" s="72" t="n"/>
      <c r="H95" s="72" t="n"/>
      <c r="I95" s="50" t="n"/>
      <c r="J95" s="50" t="n"/>
      <c r="K95" s="50" t="n"/>
      <c r="L95" s="50" t="n"/>
    </row>
    <row r="96" ht="18" customHeight="1">
      <c r="A96" s="49" t="n"/>
      <c r="B96" s="50" t="n"/>
      <c r="C96" s="51" t="n"/>
      <c r="D96" s="56" t="n"/>
      <c r="E96" s="50" t="n"/>
      <c r="F96" s="50" t="n"/>
      <c r="G96" s="72" t="n"/>
      <c r="H96" s="72" t="n"/>
      <c r="I96" s="50" t="n"/>
      <c r="J96" s="50" t="n"/>
      <c r="K96" s="50" t="n"/>
      <c r="L96" s="50" t="n"/>
    </row>
    <row r="97" ht="18" customHeight="1">
      <c r="A97" s="49" t="n"/>
      <c r="B97" s="50" t="n"/>
      <c r="C97" s="51" t="n"/>
      <c r="D97" s="56" t="n"/>
      <c r="E97" s="50" t="n"/>
      <c r="F97" s="50" t="n"/>
      <c r="G97" s="72" t="n"/>
      <c r="H97" s="72" t="n"/>
      <c r="I97" s="50" t="n"/>
      <c r="J97" s="50" t="n"/>
      <c r="K97" s="50" t="n"/>
      <c r="L97" s="50" t="n"/>
    </row>
    <row r="98" ht="18" customHeight="1">
      <c r="A98" s="49" t="n"/>
      <c r="B98" s="50" t="n"/>
      <c r="C98" s="51" t="n"/>
      <c r="D98" s="56" t="n"/>
      <c r="E98" s="50" t="n"/>
      <c r="F98" s="50" t="n"/>
      <c r="G98" s="72" t="n"/>
      <c r="H98" s="72" t="n"/>
      <c r="I98" s="50" t="n"/>
      <c r="J98" s="50" t="n"/>
      <c r="K98" s="50" t="n"/>
      <c r="L98" s="50" t="n"/>
    </row>
    <row r="99" ht="18" customHeight="1">
      <c r="A99" s="49" t="n"/>
      <c r="B99" s="50" t="n"/>
      <c r="C99" s="51" t="n"/>
      <c r="D99" s="56" t="n"/>
      <c r="E99" s="50" t="n"/>
      <c r="F99" s="50" t="n"/>
      <c r="G99" s="72" t="n"/>
      <c r="H99" s="72" t="n"/>
      <c r="I99" s="50" t="n"/>
      <c r="J99" s="50" t="n"/>
      <c r="K99" s="50" t="n"/>
      <c r="L99" s="50" t="n"/>
    </row>
    <row r="100" ht="18" customHeight="1">
      <c r="A100" s="49" t="n"/>
      <c r="B100" s="50" t="n"/>
      <c r="C100" s="51" t="n"/>
      <c r="D100" s="56" t="n"/>
      <c r="E100" s="50" t="n"/>
      <c r="F100" s="50" t="n"/>
      <c r="G100" s="72" t="n"/>
      <c r="H100" s="72" t="n"/>
      <c r="I100" s="50" t="n"/>
      <c r="J100" s="50" t="n"/>
      <c r="K100" s="50" t="n"/>
      <c r="L100" s="50" t="n"/>
    </row>
    <row r="101" ht="18" customHeight="1">
      <c r="A101" s="49" t="n"/>
      <c r="B101" s="50" t="n"/>
      <c r="C101" s="51" t="n"/>
      <c r="D101" s="56" t="n"/>
      <c r="E101" s="50" t="n"/>
      <c r="F101" s="50" t="n"/>
      <c r="G101" s="72" t="n"/>
      <c r="H101" s="72" t="n"/>
      <c r="I101" s="50" t="n"/>
      <c r="J101" s="50" t="n"/>
      <c r="K101" s="50" t="n"/>
      <c r="L101" s="50" t="n"/>
    </row>
    <row r="102" ht="18" customHeight="1">
      <c r="A102" s="49" t="n"/>
      <c r="B102" s="50" t="n"/>
      <c r="C102" s="51" t="n"/>
      <c r="D102" s="56" t="n"/>
      <c r="E102" s="50" t="n"/>
      <c r="F102" s="50" t="n"/>
      <c r="G102" s="72" t="n"/>
      <c r="H102" s="72" t="n"/>
      <c r="I102" s="50" t="n"/>
      <c r="J102" s="50" t="n"/>
      <c r="K102" s="50" t="n"/>
      <c r="L102" s="50" t="n"/>
    </row>
    <row r="103" ht="18" customHeight="1">
      <c r="A103" s="49" t="n"/>
      <c r="B103" s="50" t="n"/>
      <c r="C103" s="51" t="n"/>
      <c r="D103" s="56" t="n"/>
      <c r="E103" s="50" t="n"/>
      <c r="F103" s="50" t="n"/>
      <c r="G103" s="72" t="n"/>
      <c r="H103" s="72" t="n"/>
      <c r="I103" s="50" t="n"/>
      <c r="J103" s="50" t="n"/>
      <c r="K103" s="50" t="n"/>
      <c r="L103" s="50" t="n"/>
    </row>
    <row r="104" ht="18" customHeight="1">
      <c r="A104" s="49" t="n"/>
      <c r="B104" s="50" t="n"/>
      <c r="C104" s="51" t="n"/>
      <c r="D104" s="56" t="n"/>
      <c r="E104" s="50" t="n"/>
      <c r="F104" s="50" t="n"/>
      <c r="G104" s="72" t="n"/>
      <c r="H104" s="72" t="n"/>
      <c r="I104" s="50" t="n"/>
      <c r="J104" s="50" t="n"/>
      <c r="K104" s="50" t="n"/>
      <c r="L104" s="50" t="n"/>
    </row>
    <row r="105" ht="18" customHeight="1">
      <c r="A105" s="49" t="n"/>
      <c r="B105" s="50" t="n"/>
      <c r="C105" s="51" t="n"/>
      <c r="D105" s="56" t="n"/>
      <c r="E105" s="50" t="n"/>
      <c r="F105" s="50" t="n"/>
      <c r="G105" s="72" t="n"/>
      <c r="H105" s="72" t="n"/>
      <c r="I105" s="50" t="n"/>
      <c r="J105" s="50" t="n"/>
      <c r="K105" s="50" t="n"/>
      <c r="L105" s="50" t="n"/>
    </row>
    <row r="106" ht="18" customHeight="1">
      <c r="A106" s="49" t="n"/>
      <c r="B106" s="50" t="n"/>
      <c r="C106" s="51" t="n"/>
      <c r="D106" s="56" t="n"/>
      <c r="E106" s="50" t="n"/>
      <c r="F106" s="50" t="n"/>
      <c r="G106" s="72" t="n"/>
      <c r="H106" s="72" t="n"/>
      <c r="I106" s="50" t="n"/>
      <c r="J106" s="50" t="n"/>
      <c r="K106" s="50" t="n"/>
      <c r="L106" s="50" t="n"/>
    </row>
    <row r="108">
      <c r="A108" s="2" t="inlineStr">
        <is>
          <t>영역  A=인프라·배포   B=수집·탐지   C=관제 콘솔   D=분석·운영   -=공통 / 문서</t>
        </is>
      </c>
    </row>
    <row r="109">
      <c r="A109" s="2" t="inlineStr">
        <is>
          <t>▸ 표시 = 세부 작업 (레벨 2)      ★ = 임계경로 (지연 시 전체 일정에 영향)</t>
        </is>
      </c>
    </row>
    <row r="110">
      <c r="A110" s="15" t="inlineStr">
        <is>
          <t>상태를 바꾸면 대시보드 · 간트차트 · 산출물 체크리스트가 자동으로 갱신됩니다.</t>
        </is>
      </c>
    </row>
  </sheetData>
  <autoFilter ref="A4:L106"/>
  <conditionalFormatting sqref="F5:F106">
    <cfRule type="expression" priority="1" dxfId="1">
      <formula>$F5="완료"</formula>
    </cfRule>
    <cfRule type="expression" priority="2" dxfId="2">
      <formula>$F5="진행중"</formula>
    </cfRule>
    <cfRule type="expression" priority="3" dxfId="5">
      <formula>$F5="미착수"</formula>
    </cfRule>
    <cfRule type="expression" priority="4" dxfId="3">
      <formula>$F5="지연"</formula>
    </cfRule>
  </conditionalFormatting>
  <dataValidations count="1">
    <dataValidation sqref="F5:F106" showDropDown="0" showInputMessage="0" showErrorMessage="0" allowBlank="1" type="list">
      <formula1>"완료,진행중,미착수,지연"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11" customWidth="1" min="3" max="3"/>
    <col width="8" customWidth="1" min="4" max="4"/>
    <col width="13" customWidth="1" min="5" max="5"/>
    <col width="13" customWidth="1" min="6" max="6"/>
    <col width="11" customWidth="1" min="7" max="7"/>
    <col width="10" customWidth="1" min="8" max="8"/>
  </cols>
  <sheetData>
    <row r="1">
      <c r="A1" s="1" t="inlineStr">
        <is>
          <t>산출물 체크리스트 — OpsLoop (최종 제출 2026.10.16)</t>
        </is>
      </c>
    </row>
    <row r="2">
      <c r="A2" s="15" t="inlineStr">
        <is>
          <t>※ WBS 시트의 작업명 · 담당 · 날짜 · 상태와 실시간 연동됩니다. 상태는 WBS에서 변경하세요.</t>
        </is>
      </c>
    </row>
    <row r="4" ht="22" customHeight="1">
      <c r="A4" s="4" t="inlineStr">
        <is>
          <t>No</t>
        </is>
      </c>
      <c r="B4" s="4" t="inlineStr">
        <is>
          <t>산출물</t>
        </is>
      </c>
      <c r="C4" s="4" t="inlineStr">
        <is>
          <t>관련 WBS</t>
        </is>
      </c>
      <c r="D4" s="4" t="inlineStr">
        <is>
          <t>영역</t>
        </is>
      </c>
      <c r="E4" s="4" t="inlineStr">
        <is>
          <t>작성 시작</t>
        </is>
      </c>
      <c r="F4" s="4" t="inlineStr">
        <is>
          <t>완료 목표</t>
        </is>
      </c>
      <c r="G4" s="4" t="inlineStr">
        <is>
          <t>제출 형식</t>
        </is>
      </c>
      <c r="H4" s="4" t="inlineStr">
        <is>
          <t>상태</t>
        </is>
      </c>
    </row>
    <row r="5" ht="18" customHeight="1">
      <c r="A5" s="63" t="n">
        <v>1</v>
      </c>
      <c r="B5" s="64">
        <f>WBS!C73</f>
        <v/>
      </c>
      <c r="C5" s="63" t="inlineStr">
        <is>
          <t>5.1</t>
        </is>
      </c>
      <c r="D5" s="63">
        <f>WBS!D73</f>
        <v/>
      </c>
      <c r="E5" s="74">
        <f>WBS!G73</f>
        <v/>
      </c>
      <c r="F5" s="74">
        <f>WBS!H73</f>
        <v/>
      </c>
      <c r="G5" s="63" t="inlineStr">
        <is>
          <t>xlsx</t>
        </is>
      </c>
      <c r="H5" s="63">
        <f>WBS!F73</f>
        <v/>
      </c>
    </row>
    <row r="6" ht="18" customHeight="1">
      <c r="A6" s="63" t="n">
        <v>2</v>
      </c>
      <c r="B6" s="64">
        <f>WBS!C74</f>
        <v/>
      </c>
      <c r="C6" s="63" t="inlineStr">
        <is>
          <t>5.2</t>
        </is>
      </c>
      <c r="D6" s="63">
        <f>WBS!D74</f>
        <v/>
      </c>
      <c r="E6" s="74">
        <f>WBS!G74</f>
        <v/>
      </c>
      <c r="F6" s="74">
        <f>WBS!H74</f>
        <v/>
      </c>
      <c r="G6" s="63" t="inlineStr">
        <is>
          <t>pdf</t>
        </is>
      </c>
      <c r="H6" s="63">
        <f>WBS!F74</f>
        <v/>
      </c>
    </row>
    <row r="7" ht="18" customHeight="1">
      <c r="A7" s="63" t="n">
        <v>3</v>
      </c>
      <c r="B7" s="64">
        <f>WBS!C75</f>
        <v/>
      </c>
      <c r="C7" s="63" t="inlineStr">
        <is>
          <t>5.3</t>
        </is>
      </c>
      <c r="D7" s="63">
        <f>WBS!D75</f>
        <v/>
      </c>
      <c r="E7" s="74">
        <f>WBS!G75</f>
        <v/>
      </c>
      <c r="F7" s="74">
        <f>WBS!H75</f>
        <v/>
      </c>
      <c r="G7" s="63" t="inlineStr">
        <is>
          <t>pdf</t>
        </is>
      </c>
      <c r="H7" s="63">
        <f>WBS!F75</f>
        <v/>
      </c>
    </row>
    <row r="8" ht="18" customHeight="1">
      <c r="A8" s="63" t="n">
        <v>4</v>
      </c>
      <c r="B8" s="64">
        <f>WBS!C76</f>
        <v/>
      </c>
      <c r="C8" s="63" t="inlineStr">
        <is>
          <t>5.4</t>
        </is>
      </c>
      <c r="D8" s="63">
        <f>WBS!D76</f>
        <v/>
      </c>
      <c r="E8" s="74">
        <f>WBS!G76</f>
        <v/>
      </c>
      <c r="F8" s="74">
        <f>WBS!H76</f>
        <v/>
      </c>
      <c r="G8" s="63" t="inlineStr">
        <is>
          <t>pdf</t>
        </is>
      </c>
      <c r="H8" s="63">
        <f>WBS!F76</f>
        <v/>
      </c>
    </row>
    <row r="9" ht="18" customHeight="1">
      <c r="A9" s="63" t="n">
        <v>5</v>
      </c>
      <c r="B9" s="64">
        <f>WBS!C77</f>
        <v/>
      </c>
      <c r="C9" s="63" t="inlineStr">
        <is>
          <t>5.5</t>
        </is>
      </c>
      <c r="D9" s="63">
        <f>WBS!D77</f>
        <v/>
      </c>
      <c r="E9" s="74">
        <f>WBS!G77</f>
        <v/>
      </c>
      <c r="F9" s="74">
        <f>WBS!H77</f>
        <v/>
      </c>
      <c r="G9" s="63" t="inlineStr">
        <is>
          <t>pdf</t>
        </is>
      </c>
      <c r="H9" s="63">
        <f>WBS!F77</f>
        <v/>
      </c>
    </row>
    <row r="10" ht="18" customHeight="1">
      <c r="A10" s="63" t="n">
        <v>6</v>
      </c>
      <c r="B10" s="64">
        <f>WBS!C78</f>
        <v/>
      </c>
      <c r="C10" s="63" t="inlineStr">
        <is>
          <t>5.6</t>
        </is>
      </c>
      <c r="D10" s="63">
        <f>WBS!D78</f>
        <v/>
      </c>
      <c r="E10" s="74">
        <f>WBS!G78</f>
        <v/>
      </c>
      <c r="F10" s="74">
        <f>WBS!H78</f>
        <v/>
      </c>
      <c r="G10" s="63" t="inlineStr">
        <is>
          <t>pdf</t>
        </is>
      </c>
      <c r="H10" s="63">
        <f>WBS!F78</f>
        <v/>
      </c>
    </row>
    <row r="11" ht="18" customHeight="1">
      <c r="A11" s="63" t="n">
        <v>7</v>
      </c>
      <c r="B11" s="64">
        <f>WBS!C79</f>
        <v/>
      </c>
      <c r="C11" s="63" t="inlineStr">
        <is>
          <t>5.7</t>
        </is>
      </c>
      <c r="D11" s="63">
        <f>WBS!D79</f>
        <v/>
      </c>
      <c r="E11" s="74">
        <f>WBS!G79</f>
        <v/>
      </c>
      <c r="F11" s="74">
        <f>WBS!H79</f>
        <v/>
      </c>
      <c r="G11" s="63" t="inlineStr">
        <is>
          <t>pdf</t>
        </is>
      </c>
      <c r="H11" s="63">
        <f>WBS!F79</f>
        <v/>
      </c>
    </row>
    <row r="12" ht="18" customHeight="1">
      <c r="A12" s="63" t="n">
        <v>8</v>
      </c>
      <c r="B12" s="64">
        <f>WBS!C80</f>
        <v/>
      </c>
      <c r="C12" s="63" t="inlineStr">
        <is>
          <t>5.8</t>
        </is>
      </c>
      <c r="D12" s="63">
        <f>WBS!D80</f>
        <v/>
      </c>
      <c r="E12" s="74">
        <f>WBS!G80</f>
        <v/>
      </c>
      <c r="F12" s="74">
        <f>WBS!H80</f>
        <v/>
      </c>
      <c r="G12" s="63" t="inlineStr">
        <is>
          <t>pdf</t>
        </is>
      </c>
      <c r="H12" s="63">
        <f>WBS!F80</f>
        <v/>
      </c>
    </row>
    <row r="13" ht="18" customHeight="1">
      <c r="A13" s="63" t="n">
        <v>9</v>
      </c>
      <c r="B13" s="64">
        <f>WBS!C81</f>
        <v/>
      </c>
      <c r="C13" s="63" t="inlineStr">
        <is>
          <t>5.9</t>
        </is>
      </c>
      <c r="D13" s="63">
        <f>WBS!D81</f>
        <v/>
      </c>
      <c r="E13" s="74">
        <f>WBS!G81</f>
        <v/>
      </c>
      <c r="F13" s="74">
        <f>WBS!H81</f>
        <v/>
      </c>
      <c r="G13" s="63" t="inlineStr">
        <is>
          <t>pdf</t>
        </is>
      </c>
      <c r="H13" s="63">
        <f>WBS!F81</f>
        <v/>
      </c>
    </row>
    <row r="14" ht="18" customHeight="1">
      <c r="A14" s="63" t="n">
        <v>10</v>
      </c>
      <c r="B14" s="64">
        <f>WBS!C82</f>
        <v/>
      </c>
      <c r="C14" s="63" t="inlineStr">
        <is>
          <t>5.10</t>
        </is>
      </c>
      <c r="D14" s="63">
        <f>WBS!D82</f>
        <v/>
      </c>
      <c r="E14" s="74">
        <f>WBS!G82</f>
        <v/>
      </c>
      <c r="F14" s="74">
        <f>WBS!H82</f>
        <v/>
      </c>
      <c r="G14" s="63" t="inlineStr">
        <is>
          <t>pdf</t>
        </is>
      </c>
      <c r="H14" s="63">
        <f>WBS!F82</f>
        <v/>
      </c>
    </row>
    <row r="15" ht="18" customHeight="1">
      <c r="A15" s="63" t="n">
        <v>11</v>
      </c>
      <c r="B15" s="64">
        <f>WBS!C83</f>
        <v/>
      </c>
      <c r="C15" s="63" t="inlineStr">
        <is>
          <t>5.11</t>
        </is>
      </c>
      <c r="D15" s="63">
        <f>WBS!D83</f>
        <v/>
      </c>
      <c r="E15" s="74">
        <f>WBS!G83</f>
        <v/>
      </c>
      <c r="F15" s="74">
        <f>WBS!H83</f>
        <v/>
      </c>
      <c r="G15" s="63" t="inlineStr">
        <is>
          <t>pdf</t>
        </is>
      </c>
      <c r="H15" s="63">
        <f>WBS!F83</f>
        <v/>
      </c>
    </row>
    <row r="16" ht="18" customHeight="1">
      <c r="A16" s="63" t="n">
        <v>12</v>
      </c>
      <c r="B16" s="64">
        <f>WBS!C84</f>
        <v/>
      </c>
      <c r="C16" s="63" t="inlineStr">
        <is>
          <t>5.12</t>
        </is>
      </c>
      <c r="D16" s="63">
        <f>WBS!D84</f>
        <v/>
      </c>
      <c r="E16" s="74">
        <f>WBS!G84</f>
        <v/>
      </c>
      <c r="F16" s="74">
        <f>WBS!H84</f>
        <v/>
      </c>
      <c r="G16" s="63" t="inlineStr">
        <is>
          <t>pdf</t>
        </is>
      </c>
      <c r="H16" s="63">
        <f>WBS!F84</f>
        <v/>
      </c>
    </row>
    <row r="17" ht="18" customHeight="1">
      <c r="A17" s="63" t="n">
        <v>13</v>
      </c>
      <c r="B17" s="64">
        <f>WBS!C85</f>
        <v/>
      </c>
      <c r="C17" s="63" t="inlineStr">
        <is>
          <t>5.13</t>
        </is>
      </c>
      <c r="D17" s="63">
        <f>WBS!D85</f>
        <v/>
      </c>
      <c r="E17" s="74">
        <f>WBS!G85</f>
        <v/>
      </c>
      <c r="F17" s="74">
        <f>WBS!H85</f>
        <v/>
      </c>
      <c r="G17" s="63" t="inlineStr">
        <is>
          <t>pdf</t>
        </is>
      </c>
      <c r="H17" s="63">
        <f>WBS!F85</f>
        <v/>
      </c>
    </row>
    <row r="18" ht="18" customHeight="1">
      <c r="A18" s="63" t="n">
        <v>14</v>
      </c>
      <c r="B18" s="64">
        <f>WBS!C86</f>
        <v/>
      </c>
      <c r="C18" s="63" t="inlineStr">
        <is>
          <t>5.14</t>
        </is>
      </c>
      <c r="D18" s="63">
        <f>WBS!D86</f>
        <v/>
      </c>
      <c r="E18" s="74">
        <f>WBS!G86</f>
        <v/>
      </c>
      <c r="F18" s="74">
        <f>WBS!H86</f>
        <v/>
      </c>
      <c r="G18" s="63" t="inlineStr">
        <is>
          <t>pdf</t>
        </is>
      </c>
      <c r="H18" s="63">
        <f>WBS!F86</f>
        <v/>
      </c>
    </row>
    <row r="19" ht="18" customHeight="1">
      <c r="A19" s="63" t="n">
        <v>15</v>
      </c>
      <c r="B19" s="64">
        <f>WBS!C87</f>
        <v/>
      </c>
      <c r="C19" s="63" t="inlineStr">
        <is>
          <t>5.15</t>
        </is>
      </c>
      <c r="D19" s="63">
        <f>WBS!D87</f>
        <v/>
      </c>
      <c r="E19" s="74">
        <f>WBS!G87</f>
        <v/>
      </c>
      <c r="F19" s="74">
        <f>WBS!H87</f>
        <v/>
      </c>
      <c r="G19" s="63" t="inlineStr">
        <is>
          <t>pdf</t>
        </is>
      </c>
      <c r="H19" s="63">
        <f>WBS!F87</f>
        <v/>
      </c>
    </row>
    <row r="20" ht="18" customHeight="1">
      <c r="A20" s="63" t="n">
        <v>16</v>
      </c>
      <c r="B20" s="64">
        <f>WBS!C88</f>
        <v/>
      </c>
      <c r="C20" s="63" t="inlineStr">
        <is>
          <t>5.16</t>
        </is>
      </c>
      <c r="D20" s="63">
        <f>WBS!D88</f>
        <v/>
      </c>
      <c r="E20" s="74">
        <f>WBS!G88</f>
        <v/>
      </c>
      <c r="F20" s="74">
        <f>WBS!H88</f>
        <v/>
      </c>
      <c r="G20" s="63" t="inlineStr">
        <is>
          <t>pdf</t>
        </is>
      </c>
      <c r="H20" s="63">
        <f>WBS!F88</f>
        <v/>
      </c>
    </row>
    <row r="21" ht="18" customHeight="1">
      <c r="A21" s="63" t="n"/>
      <c r="B21" s="64" t="n"/>
      <c r="C21" s="63" t="n"/>
      <c r="D21" s="63" t="n"/>
      <c r="E21" s="74" t="n"/>
      <c r="F21" s="74" t="n"/>
      <c r="G21" s="63" t="n"/>
      <c r="H21" s="63" t="n"/>
    </row>
    <row r="22" ht="18" customHeight="1">
      <c r="A22" s="63" t="n"/>
      <c r="B22" s="64" t="n"/>
      <c r="C22" s="63" t="n"/>
      <c r="D22" s="63" t="n"/>
      <c r="E22" s="74" t="n"/>
      <c r="F22" s="74" t="n"/>
      <c r="G22" s="63" t="n"/>
      <c r="H22" s="63" t="n"/>
    </row>
    <row r="24">
      <c r="A24" s="2" t="inlineStr">
        <is>
          <t>총 16종.  제출 형식은 학과 지침에 맞춰 조정하세요.  (v1.0 대비: CI/CD 산출물과 주간 보고서 자동 생성 제외, 네트워크 설계서 신설)</t>
        </is>
      </c>
    </row>
    <row r="25">
      <c r="A25" s="2" t="inlineStr">
        <is>
          <t>코드·설정 파일은 저장소(GitHub)로 제출하고, 소스코드 산출물은 주요 모듈을 PDF로 정리합니다.</t>
        </is>
      </c>
    </row>
  </sheetData>
  <conditionalFormatting sqref="H5:H22">
    <cfRule type="expression" priority="1" dxfId="1">
      <formula>$H5="완료"</formula>
    </cfRule>
    <cfRule type="expression" priority="2" dxfId="2">
      <formula>$H5="진행중"</formula>
    </cfRule>
    <cfRule type="expression" priority="3" dxfId="5">
      <formula>$H5="미착수"</formula>
    </cfRule>
    <cfRule type="expression" priority="4" dxfId="3">
      <formula>$H5="지연"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2026-09-04T02:40:32Z</dcterms:created>
  <dcterms:modified xmlns:dcterms="http://purl.org/dc/terms/" xmlns:xsi="http://www.w3.org/2001/XMLSchema-instance" xsi:type="dcterms:W3CDTF">2026-09-18T00:36:37Z</dcterms:modified>
</cp:coreProperties>
</file>
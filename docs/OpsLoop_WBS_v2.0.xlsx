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시보드" sheetId="1" state="visible" r:id="rId1"/>
    <sheet name="간트차트" sheetId="2" state="visible" r:id="rId2"/>
    <sheet name="WBS" sheetId="3" state="visible" r:id="rId3"/>
    <sheet name="산출물 체크리스트" sheetId="4" state="visible" r:id="rId4"/>
  </sheets>
  <definedNames>
    <definedName name="_xlnm._FilterDatabase" localSheetId="2" hidden="1">'WBS'!$A$4:$L$106</definedName>
    <definedName name="_xlnm._FilterDatabase" localSheetId="3" hidden="1">'산출물 체크리스트'!$A$4:$H$20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m/d"/>
    <numFmt numFmtId="166" formatCode="yyyy-mm-dd"/>
    <numFmt numFmtId="167" formatCode="yyyy-mm-dd (aaa)"/>
    <numFmt numFmtId="168" formatCode="d"/>
    <numFmt numFmtId="169" formatCode="m/d (aaa)"/>
  </numFmts>
  <fonts count="48">
    <font>
      <name val="Calibri"/>
      <family val="2"/>
      <color theme="1"/>
      <sz val="11"/>
      <scheme val="minor"/>
    </font>
    <font>
      <name val="맑은 고딕"/>
      <b val="1"/>
      <color rgb="001F3A63"/>
      <sz val="13"/>
    </font>
    <font>
      <name val="맑은 고딕"/>
      <color rgb="005A6473"/>
      <sz val="9"/>
    </font>
    <font>
      <name val="맑은 고딕"/>
      <b val="1"/>
      <color rgb="00FFFFFF"/>
      <sz val="9.5"/>
    </font>
    <font>
      <name val="맑은 고딕"/>
      <b val="1"/>
      <color rgb="00000000"/>
      <sz val="9"/>
    </font>
    <font>
      <name val="맑은 고딕"/>
      <b val="1"/>
      <color rgb="00FFFFFF"/>
      <sz val="10"/>
    </font>
    <font>
      <name val="맑은 고딕"/>
      <b val="1"/>
      <color rgb="00C00000"/>
      <sz val="9"/>
    </font>
    <font>
      <name val="맑은 고딕"/>
      <color rgb="00000000"/>
      <sz val="9"/>
    </font>
    <font>
      <name val="맑은 고딕"/>
      <color rgb="00C00000"/>
      <sz val="9"/>
    </font>
    <font>
      <name val="맑은 고딕"/>
      <b val="1"/>
      <color rgb="001F3A63"/>
      <sz val="11"/>
    </font>
    <font>
      <name val="맑은 고딕"/>
      <b val="1"/>
      <sz val="9.5"/>
    </font>
    <font>
      <name val="맑은 고딕"/>
      <sz val="9.5"/>
    </font>
    <font>
      <name val="맑은 고딕"/>
      <b val="1"/>
      <color rgb="00FFFFFF"/>
      <sz val="7.5"/>
    </font>
    <font>
      <name val="맑은 고딕"/>
      <b val="1"/>
      <color rgb="00FFC7CE"/>
      <sz val="7.5"/>
    </font>
    <font>
      <name val="맑은 고딕"/>
      <b val="1"/>
      <color rgb="00FFFFFF"/>
      <sz val="9"/>
    </font>
    <font>
      <name val="맑은 고딕"/>
      <b val="1"/>
      <color rgb="00C00000"/>
      <sz val="8.5"/>
    </font>
    <font>
      <name val="맑은 고딕"/>
      <b val="1"/>
      <color rgb="00000000"/>
      <sz val="8.5"/>
    </font>
    <font>
      <name val="맑은 고딕"/>
      <color rgb="00000000"/>
      <sz val="8.5"/>
    </font>
    <font>
      <name val="맑은 고딕"/>
      <color rgb="00C00000"/>
      <sz val="8.5"/>
    </font>
    <font>
      <name val="맑은 고딕"/>
      <b val="1"/>
      <color rgb="001F3A63"/>
      <sz val="10"/>
    </font>
    <font>
      <name val="맑은 고딕"/>
      <sz val="9"/>
    </font>
    <font>
      <name val="맑은 고딕"/>
      <color rgb="006E6E73"/>
      <sz val="8.5"/>
    </font>
    <font>
      <name val="맑은 고딕"/>
      <b val="1"/>
      <color rgb="00FFFFFF"/>
      <sz val="15"/>
    </font>
    <font>
      <name val="맑은 고딕"/>
      <color rgb="0001518F"/>
      <sz val="9.5"/>
    </font>
    <font>
      <name val="맑은 고딕"/>
      <b val="1"/>
      <color rgb="0001518F"/>
      <sz val="10"/>
    </font>
    <font>
      <name val="맑은 고딕"/>
      <b val="1"/>
      <color rgb="001D1D1F"/>
      <sz val="9.5"/>
    </font>
    <font>
      <name val="맑은 고딕"/>
      <b val="1"/>
      <color rgb="00D70015"/>
      <sz val="10"/>
    </font>
    <font>
      <name val="맑은 고딕"/>
      <color rgb="001D1D1F"/>
      <sz val="9.5"/>
    </font>
    <font>
      <name val="맑은 고딕"/>
      <color rgb="006E6E73"/>
      <sz val="9"/>
    </font>
    <font>
      <name val="맑은 고딕"/>
      <b val="1"/>
      <color rgb="00FFFFFF"/>
      <sz val="8"/>
    </font>
    <font>
      <name val="맑은 고딕"/>
      <color rgb="0001518F"/>
      <sz val="8"/>
    </font>
    <font>
      <name val="맑은 고딕"/>
      <b val="1"/>
      <color rgb="001D1D1F"/>
      <sz val="9"/>
    </font>
    <font>
      <name val="맑은 고딕"/>
      <b val="1"/>
      <color rgb="00D70015"/>
      <sz val="9"/>
    </font>
    <font>
      <name val="맑은 고딕"/>
      <b val="1"/>
      <color rgb="0001518F"/>
      <sz val="9"/>
    </font>
    <font>
      <name val="맑은 고딕"/>
      <color rgb="001D1D1F"/>
      <sz val="9"/>
    </font>
    <font>
      <name val="맑은 고딕"/>
      <b val="1"/>
      <color rgb="00FFFFFF"/>
      <sz val="16"/>
    </font>
    <font>
      <name val="맑은 고딕"/>
      <b val="1"/>
      <color rgb="0001518F"/>
      <sz val="11.5"/>
    </font>
    <font>
      <name val="맑은 고딕"/>
      <b val="1"/>
      <color rgb="001D1D1F"/>
      <sz val="10"/>
    </font>
    <font>
      <name val="맑은 고딕"/>
      <color rgb="001D1D1F"/>
      <sz val="10"/>
    </font>
    <font>
      <name val="맑은 고딕"/>
      <b val="1"/>
      <color rgb="000B4F8A"/>
      <sz val="10"/>
    </font>
    <font>
      <name val="맑은 고딕"/>
      <b val="1"/>
      <color rgb="001B6B35"/>
      <sz val="10"/>
    </font>
    <font>
      <name val="맑은 고딕"/>
      <b val="1"/>
      <color rgb="008A5A00"/>
      <sz val="10"/>
    </font>
    <font>
      <name val="맑은 고딕"/>
      <b val="1"/>
      <color rgb="005B3A87"/>
      <sz val="10"/>
    </font>
    <font>
      <name val="맑은 고딕"/>
      <b val="1"/>
      <color rgb="00555555"/>
      <sz val="10"/>
    </font>
    <font>
      <name val="맑은 고딕"/>
      <b val="1"/>
      <color rgb="001B7F3A"/>
      <sz val="10"/>
    </font>
    <font>
      <name val="맑은 고딕"/>
      <b val="1"/>
      <color rgb="000164B2"/>
      <sz val="10"/>
    </font>
    <font>
      <name val="맑은 고딕"/>
      <b val="1"/>
      <color rgb="006E6E73"/>
      <sz val="10"/>
    </font>
    <font>
      <name val="맑은 고딕"/>
      <b val="1"/>
      <color rgb="006E6E73"/>
      <sz val="9"/>
    </font>
  </fonts>
  <fills count="30">
    <fill>
      <patternFill/>
    </fill>
    <fill>
      <patternFill patternType="gray125"/>
    </fill>
    <fill>
      <patternFill patternType="solid">
        <fgColor rgb="001F3A63"/>
      </patternFill>
    </fill>
    <fill>
      <patternFill patternType="solid">
        <fgColor rgb="00EDF1F7"/>
      </patternFill>
    </fill>
    <fill>
      <patternFill patternType="solid">
        <fgColor rgb="00D9D9D9"/>
      </patternFill>
    </fill>
    <fill>
      <patternFill patternType="solid">
        <fgColor rgb="00FFD966"/>
      </patternFill>
    </fill>
    <fill>
      <patternFill patternType="solid">
        <fgColor rgb="00A9D08E"/>
      </patternFill>
    </fill>
    <fill>
      <patternFill patternType="solid">
        <fgColor rgb="00C9A0DC"/>
      </patternFill>
    </fill>
    <fill>
      <patternFill patternType="solid">
        <fgColor rgb="009DC3E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6DCE4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2F2F2"/>
      </patternFill>
    </fill>
    <fill>
      <patternFill patternType="solid">
        <fgColor rgb="0001518F"/>
        <bgColor rgb="0001518F"/>
      </patternFill>
    </fill>
    <fill>
      <patternFill patternType="solid">
        <fgColor rgb="00E6EFF7"/>
        <bgColor rgb="00E6EFF7"/>
      </patternFill>
    </fill>
    <fill>
      <patternFill patternType="solid">
        <fgColor rgb="000164B2"/>
        <bgColor rgb="000164B2"/>
      </patternFill>
    </fill>
    <fill>
      <patternFill patternType="solid">
        <fgColor rgb="00F7F9FC"/>
        <bgColor rgb="00F7F9FC"/>
      </patternFill>
    </fill>
    <fill>
      <patternFill patternType="solid">
        <fgColor rgb="00DCEAF7"/>
        <bgColor rgb="00DCEAF7"/>
      </patternFill>
    </fill>
    <fill>
      <patternFill patternType="solid">
        <fgColor rgb="00E3F4E8"/>
        <bgColor rgb="00E3F4E8"/>
      </patternFill>
    </fill>
    <fill>
      <patternFill patternType="solid">
        <fgColor rgb="00FFF4D6"/>
        <bgColor rgb="00FFF4D6"/>
      </patternFill>
    </fill>
    <fill>
      <patternFill patternType="solid">
        <fgColor rgb="00EFE6F7"/>
        <bgColor rgb="00EFE6F7"/>
      </patternFill>
    </fill>
    <fill>
      <patternFill patternType="solid">
        <fgColor rgb="00F0F0F2"/>
        <bgColor rgb="00F0F0F2"/>
      </patternFill>
    </fill>
    <fill>
      <patternFill patternType="solid">
        <fgColor rgb="00F2F2F4"/>
        <bgColor rgb="00F2F2F4"/>
      </patternFill>
    </fill>
    <fill>
      <patternFill patternType="solid">
        <fgColor rgb="00FFF1F0"/>
        <bgColor rgb="00FFF1F0"/>
      </patternFill>
    </fill>
    <fill>
      <patternFill patternType="solid">
        <fgColor rgb="0080B1D8"/>
        <bgColor rgb="0080B1D8"/>
      </patternFill>
    </fill>
    <fill>
      <patternFill patternType="solid">
        <fgColor rgb="00C9D3DE"/>
        <bgColor rgb="00C9D3DE"/>
      </patternFill>
    </fill>
    <fill>
      <patternFill patternType="solid">
        <fgColor rgb="00D70015"/>
        <bgColor rgb="00D70015"/>
      </patternFill>
    </fill>
    <fill>
      <patternFill patternType="solid">
        <fgColor rgb="00F2F3F5"/>
        <bgColor rgb="00F2F3F5"/>
      </patternFill>
    </fill>
  </fills>
  <borders count="1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D9DDE3"/>
      </left>
      <right style="thin">
        <color rgb="00D9DDE3"/>
      </right>
      <top style="thin">
        <color rgb="00D9DDE3"/>
      </top>
      <bottom style="thin">
        <color rgb="00D9DDE3"/>
      </bottom>
    </border>
    <border/>
    <border>
      <left style="thin">
        <color rgb="00EEF0F3"/>
      </left>
      <right style="thin">
        <color rgb="00EEF0F3"/>
      </right>
      <top style="thin">
        <color rgb="00EEF0F3"/>
      </top>
      <bottom style="thin">
        <color rgb="00EEF0F3"/>
      </bottom>
    </border>
    <border>
      <bottom style="medium">
        <color rgb="000164B2"/>
      </bottom>
    </border>
    <border>
      <left/>
      <right/>
      <top style="thin">
        <color rgb="00D9DDE3"/>
      </top>
      <bottom/>
      <diagonal/>
    </border>
    <border>
      <left/>
      <right style="thin">
        <color rgb="00D9DDE3"/>
      </right>
      <top style="thin">
        <color rgb="00D9DDE3"/>
      </top>
      <bottom/>
      <diagonal/>
    </border>
    <border>
      <left/>
      <right/>
      <top style="thin">
        <color rgb="00D9DDE3"/>
      </top>
      <bottom style="thin">
        <color rgb="00D9DDE3"/>
      </bottom>
      <diagonal/>
    </border>
    <border>
      <left/>
      <right style="thin">
        <color rgb="00D9DDE3"/>
      </right>
      <top style="thin">
        <color rgb="00D9DDE3"/>
      </top>
      <bottom style="thin">
        <color rgb="00D9DDE3"/>
      </bottom>
      <diagonal/>
    </border>
    <border>
      <left style="medium">
        <color rgb="00D70015"/>
      </left>
      <right style="medium">
        <color rgb="00D70015"/>
      </right>
    </border>
  </borders>
  <cellStyleXfs count="1">
    <xf numFmtId="0" fontId="0" fillId="0" borderId="0"/>
  </cellStyleXfs>
  <cellXfs count="18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0" fontId="8" fillId="0" borderId="0" pivotButton="0" quotePrefix="0" xfId="0"/>
    <xf numFmtId="0" fontId="14" fillId="2" borderId="1" applyAlignment="1" pivotButton="0" quotePrefix="0" xfId="0">
      <alignment horizontal="center" vertical="center"/>
    </xf>
    <xf numFmtId="165" fontId="12" fillId="2" borderId="1" applyAlignment="1" pivotButton="0" quotePrefix="0" xfId="0">
      <alignment horizontal="center" vertical="center"/>
    </xf>
    <xf numFmtId="165" fontId="13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center"/>
    </xf>
    <xf numFmtId="0" fontId="16" fillId="4" borderId="1" applyAlignment="1" pivotButton="0" quotePrefix="0" xfId="0">
      <alignment horizontal="center" vertical="center"/>
    </xf>
    <xf numFmtId="0" fontId="0" fillId="0" borderId="1" pivotButton="0" quotePrefix="0" xfId="0"/>
    <xf numFmtId="166" fontId="1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/>
    </xf>
    <xf numFmtId="0" fontId="17" fillId="6" borderId="1" applyAlignment="1" pivotButton="0" quotePrefix="0" xfId="0">
      <alignment horizontal="center" vertical="center"/>
    </xf>
    <xf numFmtId="166" fontId="17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9" fillId="0" borderId="0" pivotButton="0" quotePrefix="0" xfId="0"/>
    <xf numFmtId="0" fontId="0" fillId="9" borderId="1" pivotButton="0" quotePrefix="0" xfId="0"/>
    <xf numFmtId="0" fontId="20" fillId="0" borderId="0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166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left" vertical="center"/>
    </xf>
    <xf numFmtId="166" fontId="20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5" fontId="12" fillId="2" borderId="1" applyAlignment="1" pivotButton="0" quotePrefix="0" xfId="0">
      <alignment horizontal="center" vertical="center"/>
    </xf>
    <xf numFmtId="165" fontId="13" fillId="2" borderId="1" applyAlignment="1" pivotButton="0" quotePrefix="0" xfId="0">
      <alignment horizontal="center" vertical="center"/>
    </xf>
    <xf numFmtId="166" fontId="16" fillId="0" borderId="1" applyAlignment="1" pivotButton="0" quotePrefix="0" xfId="0">
      <alignment horizontal="center" vertical="center"/>
    </xf>
    <xf numFmtId="166" fontId="17" fillId="0" borderId="1" applyAlignment="1" pivotButton="0" quotePrefix="0" xfId="0">
      <alignment horizontal="center" vertical="center"/>
    </xf>
    <xf numFmtId="166" fontId="7" fillId="3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/>
    </xf>
    <xf numFmtId="166" fontId="20" fillId="0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7" fontId="11" fillId="0" borderId="1" applyAlignment="1" pivotButton="0" quotePrefix="0" xfId="0">
      <alignment horizontal="center" vertical="center"/>
    </xf>
    <xf numFmtId="0" fontId="35" fillId="15" borderId="0" applyAlignment="1" pivotButton="0" quotePrefix="0" xfId="0">
      <alignment vertical="center" indent="1"/>
    </xf>
    <xf numFmtId="0" fontId="0" fillId="15" borderId="0" pivotButton="0" quotePrefix="0" xfId="0"/>
    <xf numFmtId="0" fontId="23" fillId="16" borderId="0" applyAlignment="1" pivotButton="0" quotePrefix="0" xfId="0">
      <alignment vertical="center" indent="1"/>
    </xf>
    <xf numFmtId="0" fontId="0" fillId="16" borderId="0" pivotButton="0" quotePrefix="0" xfId="0"/>
    <xf numFmtId="0" fontId="36" fillId="0" borderId="9" pivotButton="0" quotePrefix="0" xfId="0"/>
    <xf numFmtId="0" fontId="0" fillId="0" borderId="9" pivotButton="0" quotePrefix="0" xfId="0"/>
    <xf numFmtId="0" fontId="5" fillId="17" borderId="6" applyAlignment="1" pivotButton="0" quotePrefix="0" xfId="0">
      <alignment horizontal="center" vertical="center" wrapText="1"/>
    </xf>
    <xf numFmtId="0" fontId="5" fillId="17" borderId="6" applyAlignment="1" pivotButton="0" quotePrefix="0" xfId="0">
      <alignment horizontal="center" vertical="center"/>
    </xf>
    <xf numFmtId="0" fontId="39" fillId="19" borderId="6" applyAlignment="1" pivotButton="0" quotePrefix="0" xfId="0">
      <alignment horizontal="center" vertical="center"/>
    </xf>
    <xf numFmtId="0" fontId="38" fillId="0" borderId="6" applyAlignment="1" pivotButton="0" quotePrefix="0" xfId="0">
      <alignment horizontal="center" vertical="center"/>
    </xf>
    <xf numFmtId="0" fontId="38" fillId="0" borderId="6" applyAlignment="1" pivotButton="0" quotePrefix="0" xfId="0">
      <alignment horizontal="left" vertical="center"/>
    </xf>
    <xf numFmtId="9" fontId="38" fillId="0" borderId="6" applyAlignment="1" pivotButton="0" quotePrefix="0" xfId="0">
      <alignment horizontal="center" vertical="center"/>
    </xf>
    <xf numFmtId="0" fontId="44" fillId="20" borderId="6" applyAlignment="1" pivotButton="0" quotePrefix="0" xfId="0">
      <alignment horizontal="center" vertical="center"/>
    </xf>
    <xf numFmtId="0" fontId="40" fillId="20" borderId="6" applyAlignment="1" pivotButton="0" quotePrefix="0" xfId="0">
      <alignment horizontal="center" vertical="center"/>
    </xf>
    <xf numFmtId="0" fontId="45" fillId="16" borderId="6" applyAlignment="1" pivotButton="0" quotePrefix="0" xfId="0">
      <alignment horizontal="center" vertical="center"/>
    </xf>
    <xf numFmtId="0" fontId="41" fillId="21" borderId="6" applyAlignment="1" pivotButton="0" quotePrefix="0" xfId="0">
      <alignment horizontal="center" vertical="center"/>
    </xf>
    <xf numFmtId="0" fontId="46" fillId="24" borderId="6" applyAlignment="1" pivotButton="0" quotePrefix="0" xfId="0">
      <alignment horizontal="center" vertical="center"/>
    </xf>
    <xf numFmtId="0" fontId="42" fillId="22" borderId="6" applyAlignment="1" pivotButton="0" quotePrefix="0" xfId="0">
      <alignment horizontal="center" vertical="center"/>
    </xf>
    <xf numFmtId="0" fontId="26" fillId="25" borderId="6" applyAlignment="1" pivotButton="0" quotePrefix="0" xfId="0">
      <alignment horizontal="center" vertical="center"/>
    </xf>
    <xf numFmtId="0" fontId="43" fillId="23" borderId="6" applyAlignment="1" pivotButton="0" quotePrefix="0" xfId="0">
      <alignment horizontal="center" vertical="center"/>
    </xf>
    <xf numFmtId="0" fontId="24" fillId="16" borderId="6" applyAlignment="1" pivotButton="0" quotePrefix="0" xfId="0">
      <alignment horizontal="center" vertical="center"/>
    </xf>
    <xf numFmtId="9" fontId="24" fillId="16" borderId="6" applyAlignment="1" pivotButton="0" quotePrefix="0" xfId="0">
      <alignment horizontal="center" vertical="center"/>
    </xf>
    <xf numFmtId="167" fontId="38" fillId="0" borderId="6" applyAlignment="1" pivotButton="0" quotePrefix="0" xfId="0">
      <alignment horizontal="center" vertical="center"/>
    </xf>
    <xf numFmtId="0" fontId="37" fillId="0" borderId="6" applyAlignment="1" pivotButton="0" quotePrefix="0" xfId="0">
      <alignment horizontal="center" vertical="center"/>
    </xf>
    <xf numFmtId="0" fontId="28" fillId="0" borderId="0" pivotButton="0" quotePrefix="0" xfId="0"/>
    <xf numFmtId="0" fontId="22" fillId="15" borderId="0" applyAlignment="1" pivotButton="0" quotePrefix="0" xfId="0">
      <alignment vertical="center" indent="1"/>
    </xf>
    <xf numFmtId="168" fontId="29" fillId="17" borderId="6" applyAlignment="1" pivotButton="0" quotePrefix="0" xfId="0">
      <alignment horizontal="center" vertical="center"/>
    </xf>
    <xf numFmtId="0" fontId="14" fillId="16" borderId="6" applyAlignment="1" pivotButton="0" quotePrefix="0" xfId="0">
      <alignment horizontal="center" vertical="center"/>
    </xf>
    <xf numFmtId="0" fontId="30" fillId="16" borderId="6" applyAlignment="1" pivotButton="0" quotePrefix="0" xfId="0">
      <alignment horizontal="center" vertical="center"/>
    </xf>
    <xf numFmtId="0" fontId="0" fillId="16" borderId="6" pivotButton="0" quotePrefix="0" xfId="0"/>
    <xf numFmtId="0" fontId="32" fillId="0" borderId="6" applyAlignment="1" pivotButton="0" quotePrefix="0" xfId="0">
      <alignment horizontal="center" vertical="center"/>
    </xf>
    <xf numFmtId="0" fontId="31" fillId="0" borderId="6" applyAlignment="1" pivotButton="0" quotePrefix="0" xfId="0">
      <alignment horizontal="left" vertical="center"/>
    </xf>
    <xf numFmtId="0" fontId="31" fillId="0" borderId="6" applyAlignment="1" pivotButton="0" quotePrefix="0" xfId="0">
      <alignment horizontal="center" vertical="center"/>
    </xf>
    <xf numFmtId="0" fontId="0" fillId="0" borderId="8" pivotButton="0" quotePrefix="0" xfId="0"/>
    <xf numFmtId="165" fontId="31" fillId="0" borderId="6" applyAlignment="1" pivotButton="0" quotePrefix="0" xfId="0">
      <alignment horizontal="center" vertical="center"/>
    </xf>
    <xf numFmtId="0" fontId="33" fillId="16" borderId="6" applyAlignment="1" pivotButton="0" quotePrefix="0" xfId="0">
      <alignment horizontal="center" vertical="center"/>
    </xf>
    <xf numFmtId="0" fontId="33" fillId="16" borderId="6" applyAlignment="1" pivotButton="0" quotePrefix="0" xfId="0">
      <alignment horizontal="left" vertical="center"/>
    </xf>
    <xf numFmtId="0" fontId="0" fillId="18" borderId="8" pivotButton="0" quotePrefix="0" xfId="0"/>
    <xf numFmtId="165" fontId="33" fillId="16" borderId="6" applyAlignment="1" pivotButton="0" quotePrefix="0" xfId="0">
      <alignment horizontal="center" vertical="center"/>
    </xf>
    <xf numFmtId="0" fontId="34" fillId="0" borderId="6" applyAlignment="1" pivotButton="0" quotePrefix="0" xfId="0">
      <alignment horizontal="left" vertical="center"/>
    </xf>
    <xf numFmtId="0" fontId="34" fillId="0" borderId="6" applyAlignment="1" pivotButton="0" quotePrefix="0" xfId="0">
      <alignment horizontal="center" vertical="center"/>
    </xf>
    <xf numFmtId="165" fontId="34" fillId="0" borderId="6" applyAlignment="1" pivotButton="0" quotePrefix="0" xfId="0">
      <alignment horizontal="center" vertical="center"/>
    </xf>
    <xf numFmtId="0" fontId="28" fillId="9" borderId="1" pivotButton="0" quotePrefix="0" xfId="0"/>
    <xf numFmtId="0" fontId="28" fillId="10" borderId="1" pivotButton="0" quotePrefix="0" xfId="0"/>
    <xf numFmtId="0" fontId="28" fillId="11" borderId="1" pivotButton="0" quotePrefix="0" xfId="0"/>
    <xf numFmtId="0" fontId="28" fillId="12" borderId="1" pivotButton="0" quotePrefix="0" xfId="0"/>
    <xf numFmtId="0" fontId="28" fillId="13" borderId="1" pivotButton="0" quotePrefix="0" xfId="0"/>
    <xf numFmtId="0" fontId="24" fillId="16" borderId="6" applyAlignment="1" pivotButton="0" quotePrefix="0" xfId="0">
      <alignment horizontal="left" vertical="center" indent="1"/>
    </xf>
    <xf numFmtId="0" fontId="25" fillId="16" borderId="6" applyAlignment="1" pivotButton="0" quotePrefix="0" xfId="0">
      <alignment horizontal="center" vertical="center"/>
    </xf>
    <xf numFmtId="169" fontId="24" fillId="16" borderId="6" applyAlignment="1" pivotButton="0" quotePrefix="0" xfId="0">
      <alignment horizontal="center" vertical="center"/>
    </xf>
    <xf numFmtId="0" fontId="24" fillId="16" borderId="6" applyAlignment="1" pivotButton="0" quotePrefix="0" xfId="0">
      <alignment horizontal="left" vertical="center"/>
    </xf>
    <xf numFmtId="0" fontId="25" fillId="0" borderId="6" applyAlignment="1" pivotButton="0" quotePrefix="0" xfId="0">
      <alignment horizontal="center" vertical="center"/>
    </xf>
    <xf numFmtId="0" fontId="25" fillId="0" borderId="6" applyAlignment="1" pivotButton="0" quotePrefix="0" xfId="0">
      <alignment horizontal="left" vertical="center"/>
    </xf>
    <xf numFmtId="169" fontId="25" fillId="0" borderId="6" applyAlignment="1" pivotButton="0" quotePrefix="0" xfId="0">
      <alignment horizontal="center" vertical="center"/>
    </xf>
    <xf numFmtId="0" fontId="26" fillId="0" borderId="6" applyAlignment="1" pivotButton="0" quotePrefix="0" xfId="0">
      <alignment horizontal="center" vertical="center"/>
    </xf>
    <xf numFmtId="0" fontId="27" fillId="0" borderId="6" applyAlignment="1" pivotButton="0" quotePrefix="0" xfId="0">
      <alignment horizontal="center" vertical="center"/>
    </xf>
    <xf numFmtId="0" fontId="27" fillId="0" borderId="6" applyAlignment="1" pivotButton="0" quotePrefix="0" xfId="0">
      <alignment horizontal="left" vertical="center"/>
    </xf>
    <xf numFmtId="169" fontId="27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4" fillId="0" borderId="7" applyAlignment="1" pivotButton="0" quotePrefix="0" xfId="0">
      <alignment horizontal="left" vertical="center" wrapText="1"/>
    </xf>
    <xf numFmtId="166" fontId="7" fillId="0" borderId="7" applyAlignment="1" pivotButton="0" quotePrefix="0" xfId="0">
      <alignment horizontal="center" vertical="center"/>
    </xf>
    <xf numFmtId="0" fontId="27" fillId="18" borderId="6" applyAlignment="1" pivotButton="0" quotePrefix="0" xfId="0">
      <alignment horizontal="center" vertical="center"/>
    </xf>
    <xf numFmtId="0" fontId="25" fillId="18" borderId="6" applyAlignment="1" pivotButton="0" quotePrefix="0" xfId="0">
      <alignment horizontal="left" vertical="center"/>
    </xf>
    <xf numFmtId="169" fontId="27" fillId="18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left" vertical="center"/>
    </xf>
    <xf numFmtId="0" fontId="3" fillId="0" borderId="7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168" fontId="29" fillId="17" borderId="6" applyAlignment="1" pivotButton="0" quotePrefix="0" xfId="0">
      <alignment horizontal="center" vertical="center"/>
    </xf>
    <xf numFmtId="169" fontId="24" fillId="16" borderId="6" applyAlignment="1" pivotButton="0" quotePrefix="0" xfId="0">
      <alignment horizontal="center" vertical="center"/>
    </xf>
    <xf numFmtId="169" fontId="25" fillId="0" borderId="6" applyAlignment="1" pivotButton="0" quotePrefix="0" xfId="0">
      <alignment horizontal="center" vertical="center"/>
    </xf>
    <xf numFmtId="169" fontId="27" fillId="0" borderId="6" applyAlignment="1" pivotButton="0" quotePrefix="0" xfId="0">
      <alignment horizontal="center" vertical="center"/>
    </xf>
    <xf numFmtId="169" fontId="27" fillId="18" borderId="6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/>
    </xf>
    <xf numFmtId="0" fontId="16" fillId="0" borderId="7" applyAlignment="1" pivotButton="0" quotePrefix="0" xfId="0">
      <alignment horizontal="left" vertical="center"/>
    </xf>
    <xf numFmtId="0" fontId="0" fillId="0" borderId="7" pivotButton="0" quotePrefix="0" xfId="0"/>
    <xf numFmtId="166" fontId="16" fillId="0" borderId="7" applyAlignment="1" pivotButton="0" quotePrefix="0" xfId="0">
      <alignment horizontal="center" vertical="center"/>
    </xf>
    <xf numFmtId="0" fontId="15" fillId="0" borderId="7" applyAlignment="1" pivotButton="0" quotePrefix="0" xfId="0">
      <alignment horizontal="center" vertical="center"/>
    </xf>
    <xf numFmtId="0" fontId="28" fillId="0" borderId="7" pivotButton="0" quotePrefix="0" xfId="0"/>
    <xf numFmtId="0" fontId="47" fillId="0" borderId="0" pivotButton="0" quotePrefix="0" xfId="0"/>
    <xf numFmtId="0" fontId="28" fillId="26" borderId="1" pivotButton="0" quotePrefix="0" xfId="0"/>
    <xf numFmtId="0" fontId="28" fillId="17" borderId="1" pivotButton="0" quotePrefix="0" xfId="0"/>
    <xf numFmtId="0" fontId="28" fillId="27" borderId="1" pivotButton="0" quotePrefix="0" xfId="0"/>
    <xf numFmtId="0" fontId="28" fillId="28" borderId="1" pivotButton="0" quotePrefix="0" xfId="0"/>
    <xf numFmtId="0" fontId="28" fillId="29" borderId="1" pivotButton="0" quotePrefix="0" xfId="0"/>
    <xf numFmtId="0" fontId="0" fillId="0" borderId="14" pivotButton="0" quotePrefix="0" xfId="0"/>
    <xf numFmtId="165" fontId="24" fillId="16" borderId="6" applyAlignment="1" pivotButton="0" quotePrefix="0" xfId="0">
      <alignment horizontal="center" vertical="center"/>
    </xf>
    <xf numFmtId="165" fontId="25" fillId="0" borderId="6" applyAlignment="1" pivotButton="0" quotePrefix="0" xfId="0">
      <alignment horizontal="center" vertical="center"/>
    </xf>
    <xf numFmtId="165" fontId="27" fillId="0" borderId="6" applyAlignment="1" pivotButton="0" quotePrefix="0" xfId="0">
      <alignment horizontal="center" vertical="center"/>
    </xf>
    <xf numFmtId="165" fontId="27" fillId="18" borderId="6" applyAlignment="1" pivotButton="0" quotePrefix="0" xfId="0">
      <alignment horizontal="center" vertical="center"/>
    </xf>
    <xf numFmtId="0" fontId="33" fillId="0" borderId="7" pivotButton="0" quotePrefix="0" xfId="0"/>
    <xf numFmtId="0" fontId="28" fillId="26" borderId="7" pivotButton="0" quotePrefix="0" xfId="0"/>
    <xf numFmtId="0" fontId="28" fillId="17" borderId="7" pivotButton="0" quotePrefix="0" xfId="0"/>
    <xf numFmtId="0" fontId="0" fillId="27" borderId="7" pivotButton="0" quotePrefix="0" xfId="0"/>
    <xf numFmtId="0" fontId="0" fillId="28" borderId="7" pivotButton="0" quotePrefix="0" xfId="0"/>
    <xf numFmtId="0" fontId="0" fillId="29" borderId="7" pivotButton="0" quotePrefix="0" xfId="0"/>
  </cellXfs>
  <cellStyles count="1">
    <cellStyle name="Normal" xfId="0" builtinId="0" hidden="0"/>
  </cellStyles>
  <dxfs count="30">
    <dxf>
      <fill>
        <patternFill patternType="solid">
          <fgColor rgb="00F5F5F5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6DCE4"/>
        </patternFill>
      </fill>
    </dxf>
    <dxf>
      <fill>
        <patternFill patternType="solid">
          <fgColor rgb="00F2F2F2"/>
        </patternFill>
      </fill>
    </dxf>
    <dxf>
      <border>
        <left style="medium">
          <color rgb="00C00000"/>
        </left>
        <right style="medium">
          <color rgb="00C00000"/>
        </right>
      </border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9DC3E6"/>
          <bgColor rgb="009DC3E6"/>
        </patternFill>
      </fill>
    </dxf>
    <dxf>
      <fill>
        <patternFill patternType="solid">
          <fgColor rgb="00C9A0DC"/>
          <bgColor rgb="00C9A0DC"/>
        </patternFill>
      </fill>
    </dxf>
    <dxf>
      <fill>
        <patternFill patternType="solid">
          <fgColor rgb="00D9D9D9"/>
          <bgColor rgb="00D9D9D9"/>
        </patternFill>
      </fill>
    </dxf>
    <dxf>
      <font>
        <b val="1"/>
        <color rgb="00C00000"/>
      </font>
    </dxf>
    <dxf>
      <font>
        <b val="1"/>
        <color rgb="00D70015"/>
      </font>
    </dxf>
    <dxf>
      <border>
        <left style="medium">
          <color rgb="00D70015"/>
        </left>
        <right style="medium">
          <color rgb="00D70015"/>
        </right>
      </border>
    </dxf>
    <dxf>
      <fill>
        <patternFill patternType="solid">
          <fgColor rgb="0080B1D8"/>
          <bgColor rgb="0080B1D8"/>
        </patternFill>
      </fill>
    </dxf>
    <dxf>
      <fill>
        <patternFill patternType="solid">
          <fgColor rgb="000164B2"/>
          <bgColor rgb="000164B2"/>
        </patternFill>
      </fill>
    </dxf>
    <dxf>
      <fill>
        <patternFill patternType="solid">
          <fgColor rgb="00C9D3DE"/>
          <bgColor rgb="00C9D3DE"/>
        </patternFill>
      </fill>
    </dxf>
    <dxf>
      <fill>
        <patternFill patternType="solid">
          <fgColor rgb="00D70015"/>
          <bgColor rgb="00D70015"/>
        </patternFill>
      </fill>
    </dxf>
    <dxf>
      <fill>
        <patternFill patternType="solid">
          <fgColor rgb="00F2F3F5"/>
          <bgColor rgb="00F2F3F5"/>
        </patternFill>
      </fill>
    </dxf>
    <dxf>
      <font>
        <color rgb="00D70015"/>
      </font>
    </dxf>
    <dxf>
      <font>
        <b val="1"/>
        <color rgb="001B7F3A"/>
      </font>
      <fill>
        <patternFill patternType="solid">
          <fgColor rgb="00E3F4E8"/>
          <bgColor rgb="00E3F4E8"/>
        </patternFill>
      </fill>
    </dxf>
    <dxf>
      <font>
        <b val="1"/>
        <color rgb="000164B2"/>
      </font>
      <fill>
        <patternFill patternType="solid">
          <fgColor rgb="00E6EFF7"/>
          <bgColor rgb="00E6EFF7"/>
        </patternFill>
      </fill>
    </dxf>
    <dxf>
      <font>
        <b val="1"/>
        <color rgb="006E6E73"/>
      </font>
      <fill>
        <patternFill patternType="solid">
          <fgColor rgb="00F2F2F4"/>
          <bgColor rgb="00F2F2F4"/>
        </patternFill>
      </fill>
    </dxf>
    <dxf>
      <font>
        <b val="1"/>
        <color rgb="00D70015"/>
      </font>
      <fill>
        <patternFill patternType="solid">
          <fgColor rgb="00FFF1F0"/>
          <bgColor rgb="00FFF1F0"/>
        </patternFill>
      </fill>
    </dxf>
    <dxf>
      <font>
        <b val="1"/>
        <color rgb="000B4F8A"/>
      </font>
      <fill>
        <patternFill patternType="solid">
          <fgColor rgb="00DCEAF7"/>
          <bgColor rgb="00DCEAF7"/>
        </patternFill>
      </fill>
    </dxf>
    <dxf>
      <font>
        <b val="1"/>
        <color rgb="001B6B35"/>
      </font>
      <fill>
        <patternFill patternType="solid">
          <fgColor rgb="00E3F4E8"/>
          <bgColor rgb="00E3F4E8"/>
        </patternFill>
      </fill>
    </dxf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ont>
        <b val="1"/>
        <color rgb="005B3A87"/>
      </font>
      <fill>
        <patternFill patternType="solid">
          <fgColor rgb="00EFE6F7"/>
          <bgColor rgb="00EFE6F7"/>
        </patternFill>
      </fill>
    </dxf>
    <dxf>
      <font>
        <b val="1"/>
        <color rgb="00555555"/>
      </font>
      <fill>
        <patternFill patternType="solid">
          <fgColor rgb="00F0F0F2"/>
          <bgColor rgb="00F0F0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1518F"/>
    <outlinePr summaryBelow="1" summaryRight="1"/>
    <pageSetUpPr/>
  </sheetPr>
  <dimension ref="A2:M3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11" customWidth="1" min="4" max="4"/>
    <col width="9" customWidth="1" min="5" max="5"/>
    <col width="9" customWidth="1" min="6" max="6"/>
    <col width="9" customWidth="1" min="7" max="7"/>
    <col width="11" customWidth="1" min="8" max="8"/>
    <col width="3" customWidth="1" min="9" max="9"/>
    <col width="18" customWidth="1" min="10" max="10"/>
    <col width="3" customWidth="1" min="11" max="11"/>
    <col width="8" customWidth="1" min="12" max="12"/>
    <col width="16" customWidth="1" min="13" max="13"/>
  </cols>
  <sheetData>
    <row r="1" ht="8" customHeight="1"/>
    <row r="2" ht="36" customHeight="1">
      <c r="A2" s="83" t="inlineStr">
        <is>
          <t>OpsLoop 프로젝트 진행 대시보드 (WBS v2.0)</t>
        </is>
      </c>
    </row>
    <row r="3" ht="20" customHeight="1">
      <c r="A3" s="85" t="inlineStr">
        <is>
          <t>2026.09.02(수) ~ 10.16(금)      마지막 갱신 기준: WBS 시트 실시간 연동</t>
        </is>
      </c>
    </row>
    <row r="5" ht="24" customHeight="1">
      <c r="A5" s="87" t="inlineStr">
        <is>
          <t>영역별 진행 현황</t>
        </is>
      </c>
      <c r="B5" s="88" t="n"/>
      <c r="C5" s="88" t="n"/>
      <c r="D5" s="88" t="n"/>
      <c r="E5" s="88" t="n"/>
      <c r="F5" s="88" t="n"/>
      <c r="G5" s="88" t="n"/>
      <c r="H5" s="88" t="n"/>
      <c r="J5" s="87" t="inlineStr">
        <is>
          <t>기준 목록 · 입력과 색의 기준</t>
        </is>
      </c>
      <c r="K5" s="88" t="n"/>
      <c r="L5" s="88" t="n"/>
      <c r="M5" s="88" t="n"/>
    </row>
    <row r="6" ht="24" customHeight="1">
      <c r="A6" s="89" t="inlineStr">
        <is>
          <t>영역</t>
        </is>
      </c>
      <c r="B6" s="89" t="inlineStr">
        <is>
          <t>구분</t>
        </is>
      </c>
      <c r="C6" s="89" t="inlineStr">
        <is>
          <t>담당 범위</t>
        </is>
      </c>
      <c r="D6" s="89" t="inlineStr">
        <is>
          <t>전체 작업</t>
        </is>
      </c>
      <c r="E6" s="89" t="inlineStr">
        <is>
          <t>완료</t>
        </is>
      </c>
      <c r="F6" s="89" t="inlineStr">
        <is>
          <t>진행중</t>
        </is>
      </c>
      <c r="G6" s="89" t="inlineStr">
        <is>
          <t>미착수</t>
        </is>
      </c>
      <c r="H6" s="89" t="inlineStr">
        <is>
          <t>완료율</t>
        </is>
      </c>
      <c r="J6" s="90" t="inlineStr">
        <is>
          <t>상태</t>
        </is>
      </c>
      <c r="L6" s="90" t="inlineStr">
        <is>
          <t>영역</t>
        </is>
      </c>
      <c r="M6" s="90" t="inlineStr">
        <is>
          <t>구분</t>
        </is>
      </c>
    </row>
    <row r="7" ht="22" customHeight="1">
      <c r="A7" s="91" t="inlineStr">
        <is>
          <t>A</t>
        </is>
      </c>
      <c r="B7" s="92" t="inlineStr">
        <is>
          <t>인프라 · 배포</t>
        </is>
      </c>
      <c r="C7" s="93" t="inlineStr">
        <is>
          <t>프로비저닝 · 망 분리 · 방화벽 · 이중화</t>
        </is>
      </c>
      <c r="D7" s="92">
        <f>COUNTIFS(WBS!$D$5:$D$106,$A7,WBS!$L$5:$L$106,"&gt;0")</f>
        <v/>
      </c>
      <c r="E7" s="92">
        <f>COUNTIFS(WBS!$D$5:$D$106,$A7,WBS!$F$5:$F$106,"완료")</f>
        <v/>
      </c>
      <c r="F7" s="92">
        <f>COUNTIFS(WBS!$D$5:$D$106,$A7,WBS!$F$5:$F$106,"진행중")</f>
        <v/>
      </c>
      <c r="G7" s="92">
        <f>COUNTIFS(WBS!$D$5:$D$106,$A7,WBS!$F$5:$F$106,"미착수")</f>
        <v/>
      </c>
      <c r="H7" s="94">
        <f>IF($D7=0,"",$E7/$D7)</f>
        <v/>
      </c>
      <c r="J7" s="95" t="inlineStr">
        <is>
          <t>완료</t>
        </is>
      </c>
      <c r="L7" s="91" t="inlineStr">
        <is>
          <t>A</t>
        </is>
      </c>
      <c r="M7" s="93">
        <f>B7</f>
        <v/>
      </c>
    </row>
    <row r="8" ht="22" customHeight="1">
      <c r="A8" s="96" t="inlineStr">
        <is>
          <t>B</t>
        </is>
      </c>
      <c r="B8" s="92" t="inlineStr">
        <is>
          <t>수집 · 탐지</t>
        </is>
      </c>
      <c r="C8" s="93" t="inlineStr">
        <is>
          <t>로그 파이프라인 · 디코이 · 탐지 · 압축</t>
        </is>
      </c>
      <c r="D8" s="92">
        <f>COUNTIFS(WBS!$D$5:$D$106,$A8,WBS!$L$5:$L$106,"&gt;0")</f>
        <v/>
      </c>
      <c r="E8" s="92">
        <f>COUNTIFS(WBS!$D$5:$D$106,$A8,WBS!$F$5:$F$106,"완료")</f>
        <v/>
      </c>
      <c r="F8" s="92">
        <f>COUNTIFS(WBS!$D$5:$D$106,$A8,WBS!$F$5:$F$106,"진행중")</f>
        <v/>
      </c>
      <c r="G8" s="92">
        <f>COUNTIFS(WBS!$D$5:$D$106,$A8,WBS!$F$5:$F$106,"미착수")</f>
        <v/>
      </c>
      <c r="H8" s="94">
        <f>IF($D8=0,"",$E8/$D8)</f>
        <v/>
      </c>
      <c r="J8" s="97" t="inlineStr">
        <is>
          <t>진행중</t>
        </is>
      </c>
      <c r="L8" s="96" t="inlineStr">
        <is>
          <t>B</t>
        </is>
      </c>
      <c r="M8" s="93">
        <f>B8</f>
        <v/>
      </c>
    </row>
    <row r="9" ht="22" customHeight="1">
      <c r="A9" s="98" t="inlineStr">
        <is>
          <t>C</t>
        </is>
      </c>
      <c r="B9" s="92" t="inlineStr">
        <is>
          <t>관제 콘솔</t>
        </is>
      </c>
      <c r="C9" s="93" t="inlineStr">
        <is>
          <t>화면 · 판정 · 대시보드 · 실시간</t>
        </is>
      </c>
      <c r="D9" s="92">
        <f>COUNTIFS(WBS!$D$5:$D$106,$A9,WBS!$L$5:$L$106,"&gt;0")</f>
        <v/>
      </c>
      <c r="E9" s="92">
        <f>COUNTIFS(WBS!$D$5:$D$106,$A9,WBS!$F$5:$F$106,"완료")</f>
        <v/>
      </c>
      <c r="F9" s="92">
        <f>COUNTIFS(WBS!$D$5:$D$106,$A9,WBS!$F$5:$F$106,"진행중")</f>
        <v/>
      </c>
      <c r="G9" s="92">
        <f>COUNTIFS(WBS!$D$5:$D$106,$A9,WBS!$F$5:$F$106,"미착수")</f>
        <v/>
      </c>
      <c r="H9" s="94">
        <f>IF($D9=0,"",$E9/$D9)</f>
        <v/>
      </c>
      <c r="J9" s="99" t="inlineStr">
        <is>
          <t>미착수</t>
        </is>
      </c>
      <c r="L9" s="98" t="inlineStr">
        <is>
          <t>C</t>
        </is>
      </c>
      <c r="M9" s="93">
        <f>B9</f>
        <v/>
      </c>
    </row>
    <row r="10" ht="22" customHeight="1">
      <c r="A10" s="100" t="inlineStr">
        <is>
          <t>D</t>
        </is>
      </c>
      <c r="B10" s="92" t="inlineStr">
        <is>
          <t>분석 · 운영</t>
        </is>
      </c>
      <c r="C10" s="93" t="inlineStr">
        <is>
          <t>정상 트래픽 · 폐루프 · 리플레이 · 지표</t>
        </is>
      </c>
      <c r="D10" s="92">
        <f>COUNTIFS(WBS!$D$5:$D$106,$A10,WBS!$L$5:$L$106,"&gt;0")</f>
        <v/>
      </c>
      <c r="E10" s="92">
        <f>COUNTIFS(WBS!$D$5:$D$106,$A10,WBS!$F$5:$F$106,"완료")</f>
        <v/>
      </c>
      <c r="F10" s="92">
        <f>COUNTIFS(WBS!$D$5:$D$106,$A10,WBS!$F$5:$F$106,"진행중")</f>
        <v/>
      </c>
      <c r="G10" s="92">
        <f>COUNTIFS(WBS!$D$5:$D$106,$A10,WBS!$F$5:$F$106,"미착수")</f>
        <v/>
      </c>
      <c r="H10" s="94">
        <f>IF($D10=0,"",$E10/$D10)</f>
        <v/>
      </c>
      <c r="J10" s="101" t="inlineStr">
        <is>
          <t>지연</t>
        </is>
      </c>
      <c r="L10" s="100" t="inlineStr">
        <is>
          <t>D</t>
        </is>
      </c>
      <c r="M10" s="93">
        <f>B10</f>
        <v/>
      </c>
    </row>
    <row r="11" ht="22" customHeight="1">
      <c r="A11" s="102" t="inlineStr">
        <is>
          <t>-</t>
        </is>
      </c>
      <c r="B11" s="92" t="inlineStr">
        <is>
          <t>공통 · 문서</t>
        </is>
      </c>
      <c r="C11" s="93" t="inlineStr">
        <is>
          <t>기획 · 테스트 · 산출물 문서화</t>
        </is>
      </c>
      <c r="D11" s="92">
        <f>COUNTIFS(WBS!$D$5:$D$106,$A11,WBS!$L$5:$L$106,"&gt;0")</f>
        <v/>
      </c>
      <c r="E11" s="92">
        <f>COUNTIFS(WBS!$D$5:$D$106,$A11,WBS!$F$5:$F$106,"완료")</f>
        <v/>
      </c>
      <c r="F11" s="92">
        <f>COUNTIFS(WBS!$D$5:$D$106,$A11,WBS!$F$5:$F$106,"진행중")</f>
        <v/>
      </c>
      <c r="G11" s="92">
        <f>COUNTIFS(WBS!$D$5:$D$106,$A11,WBS!$F$5:$F$106,"미착수")</f>
        <v/>
      </c>
      <c r="H11" s="94">
        <f>IF($D11=0,"",$E11/$D11)</f>
        <v/>
      </c>
      <c r="L11" s="102" t="inlineStr">
        <is>
          <t>-</t>
        </is>
      </c>
      <c r="M11" s="93">
        <f>B11</f>
        <v/>
      </c>
    </row>
    <row r="12" ht="22" customHeight="1">
      <c r="A12" s="103" t="inlineStr">
        <is>
          <t>전체</t>
        </is>
      </c>
      <c r="B12" s="103" t="n"/>
      <c r="C12" s="103" t="n"/>
      <c r="D12" s="103">
        <f>COUNTIFS(WBS!$L$5:$L$106,"&gt;0")</f>
        <v/>
      </c>
      <c r="E12" s="103">
        <f>COUNTIF(WBS!$F$5:$F$106,"완료")</f>
        <v/>
      </c>
      <c r="F12" s="103">
        <f>COUNTIF(WBS!$F$5:$F$106,"진행중")</f>
        <v/>
      </c>
      <c r="G12" s="103">
        <f>COUNTIF(WBS!$F$5:$F$106,"미착수")</f>
        <v/>
      </c>
      <c r="H12" s="104">
        <f>IF($D12=0,"",$E12/$D12)</f>
        <v/>
      </c>
    </row>
    <row r="13">
      <c r="J13" s="148" t="inlineStr">
        <is>
          <t>목록을 고치면 WBS 드롭다운과 색이 함께 바뀝니다</t>
        </is>
      </c>
    </row>
    <row r="14" ht="24" customHeight="1">
      <c r="A14" s="87" t="inlineStr">
        <is>
          <t>임계경로(★) 작업 현황</t>
        </is>
      </c>
      <c r="B14" s="88" t="n"/>
    </row>
    <row r="15" ht="24" customHeight="1">
      <c r="A15" s="89" t="inlineStr">
        <is>
          <t>상태</t>
        </is>
      </c>
      <c r="B15" s="89" t="inlineStr">
        <is>
          <t>건수</t>
        </is>
      </c>
      <c r="C15" s="149" t="inlineStr"/>
      <c r="D15" s="149" t="inlineStr"/>
      <c r="E15" s="149" t="inlineStr"/>
      <c r="F15" s="149" t="inlineStr"/>
      <c r="G15" s="149" t="inlineStr"/>
      <c r="H15" s="149" t="inlineStr"/>
      <c r="J15" s="87" t="inlineStr">
        <is>
          <t>오늘 기준</t>
        </is>
      </c>
      <c r="K15" s="88" t="n"/>
      <c r="L15" s="88" t="n"/>
      <c r="M15" s="88" t="n"/>
    </row>
    <row r="16" ht="22" customHeight="1">
      <c r="A16" s="99" t="inlineStr">
        <is>
          <t>미착수</t>
        </is>
      </c>
      <c r="B16" s="92">
        <f>COUNTIFS(WBS!$K$5:$K$106,"★",WBS!$F$5:$F$106,"미착수")</f>
        <v/>
      </c>
      <c r="J16" s="90" t="inlineStr">
        <is>
          <t>종료일 지난 미완료</t>
        </is>
      </c>
      <c r="K16" s="150" t="n"/>
      <c r="L16" s="151" t="n"/>
      <c r="M16" s="92">
        <f>COUNTIFS(WBS!$L$5:$L$106,"&gt;0",WBS!$H$5:$H$106,"&lt;"&amp;TODAY(),WBS!$F$5:$F$106,"&lt;&gt;완료")</f>
        <v/>
      </c>
    </row>
    <row r="17" ht="22" customHeight="1">
      <c r="A17" s="97" t="inlineStr">
        <is>
          <t>진행중</t>
        </is>
      </c>
      <c r="B17" s="92">
        <f>COUNTIFS(WBS!$K$5:$K$106,"★",WBS!$F$5:$F$106,"진행중")</f>
        <v/>
      </c>
      <c r="J17" s="90" t="inlineStr">
        <is>
          <t>7일 안에 끝날 작업</t>
        </is>
      </c>
      <c r="K17" s="150" t="n"/>
      <c r="L17" s="151" t="n"/>
      <c r="M17" s="92">
        <f>COUNTIFS(WBS!$L$5:$L$106,"&gt;0",WBS!$H$5:$H$106,"&gt;="&amp;TODAY(),WBS!$H$5:$H$106,"&lt;"&amp;TODAY()+7,WBS!$F$5:$F$106,"&lt;&gt;완료")</f>
        <v/>
      </c>
    </row>
    <row r="18" ht="22" customHeight="1">
      <c r="A18" s="95" t="inlineStr">
        <is>
          <t>완료</t>
        </is>
      </c>
      <c r="B18" s="92">
        <f>COUNTIFS(WBS!$K$5:$K$106,"★",WBS!$F$5:$F$106,"완료")</f>
        <v/>
      </c>
      <c r="J18" s="90" t="inlineStr">
        <is>
          <t>오늘</t>
        </is>
      </c>
      <c r="K18" s="150" t="n"/>
      <c r="L18" s="151" t="n"/>
      <c r="M18" s="105">
        <f>TODAY()</f>
        <v/>
      </c>
    </row>
    <row r="19" ht="22" customHeight="1">
      <c r="A19" s="101" t="inlineStr">
        <is>
          <t>지연</t>
        </is>
      </c>
      <c r="B19" s="92">
        <f>COUNTIFS(WBS!$K$5:$K$106,"★",WBS!$F$5:$F$106,"지연")</f>
        <v/>
      </c>
    </row>
    <row r="21" ht="24" customHeight="1">
      <c r="A21" s="87" t="inlineStr">
        <is>
          <t>단계별 진행 현황</t>
        </is>
      </c>
      <c r="B21" s="88" t="n"/>
      <c r="C21" s="88" t="n"/>
      <c r="D21" s="88" t="n"/>
    </row>
    <row r="22" ht="24" customHeight="1">
      <c r="A22" s="89" t="inlineStr">
        <is>
          <t>단계</t>
        </is>
      </c>
      <c r="B22" s="89" t="inlineStr">
        <is>
          <t>전체</t>
        </is>
      </c>
      <c r="C22" s="89" t="inlineStr">
        <is>
          <t>완료</t>
        </is>
      </c>
      <c r="D22" s="89" t="inlineStr">
        <is>
          <t>완료율</t>
        </is>
      </c>
      <c r="E22" s="149" t="inlineStr"/>
      <c r="F22" s="149" t="inlineStr"/>
      <c r="G22" s="149" t="inlineStr"/>
      <c r="H22" s="149" t="inlineStr"/>
    </row>
    <row r="23" ht="22" customHeight="1">
      <c r="A23" s="106" t="inlineStr">
        <is>
          <t>기획</t>
        </is>
      </c>
      <c r="B23" s="92">
        <f>COUNTIFS(WBS!$B$5:$B$106,"기획",WBS!$L$5:$L$106,"&gt;0")</f>
        <v/>
      </c>
      <c r="C23" s="92">
        <f>COUNTIFS(WBS!$B$5:$B$106,"기획",WBS!$F$5:$F$106,"완료")</f>
        <v/>
      </c>
      <c r="D23" s="94">
        <f>IF($B23=0,"",$C23/$B23)</f>
        <v/>
      </c>
    </row>
    <row r="24" ht="22" customHeight="1">
      <c r="A24" s="106" t="inlineStr">
        <is>
          <t>설계</t>
        </is>
      </c>
      <c r="B24" s="92">
        <f>COUNTIFS(WBS!$B$5:$B$106,"설계",WBS!$L$5:$L$106,"&gt;0")</f>
        <v/>
      </c>
      <c r="C24" s="92">
        <f>COUNTIFS(WBS!$B$5:$B$106,"설계",WBS!$F$5:$F$106,"완료")</f>
        <v/>
      </c>
      <c r="D24" s="94">
        <f>IF($B24=0,"",$C24/$B24)</f>
        <v/>
      </c>
    </row>
    <row r="25" ht="22" customHeight="1">
      <c r="A25" s="106" t="inlineStr">
        <is>
          <t>개발</t>
        </is>
      </c>
      <c r="B25" s="92">
        <f>COUNTIFS(WBS!$B$5:$B$106,"개발",WBS!$L$5:$L$106,"&gt;0")</f>
        <v/>
      </c>
      <c r="C25" s="92">
        <f>COUNTIFS(WBS!$B$5:$B$106,"개발",WBS!$F$5:$F$106,"완료")</f>
        <v/>
      </c>
      <c r="D25" s="94">
        <f>IF($B25=0,"",$C25/$B25)</f>
        <v/>
      </c>
    </row>
    <row r="26" ht="22" customHeight="1">
      <c r="A26" s="106" t="inlineStr">
        <is>
          <t>테스트</t>
        </is>
      </c>
      <c r="B26" s="92">
        <f>COUNTIFS(WBS!$B$5:$B$106,"테스트",WBS!$L$5:$L$106,"&gt;0")</f>
        <v/>
      </c>
      <c r="C26" s="92">
        <f>COUNTIFS(WBS!$B$5:$B$106,"테스트",WBS!$F$5:$F$106,"완료")</f>
        <v/>
      </c>
      <c r="D26" s="94">
        <f>IF($B26=0,"",$C26/$B26)</f>
        <v/>
      </c>
    </row>
    <row r="27" ht="22" customHeight="1">
      <c r="A27" s="106" t="inlineStr">
        <is>
          <t>문서화</t>
        </is>
      </c>
      <c r="B27" s="92">
        <f>COUNTIFS(WBS!$B$5:$B$106,"문서화",WBS!$L$5:$L$106,"&gt;0")</f>
        <v/>
      </c>
      <c r="C27" s="92">
        <f>COUNTIFS(WBS!$B$5:$B$106,"문서화",WBS!$F$5:$F$106,"완료")</f>
        <v/>
      </c>
      <c r="D27" s="94">
        <f>IF($B27=0,"",$C27/$B27)</f>
        <v/>
      </c>
    </row>
    <row r="28" ht="22" customHeight="1">
      <c r="A28" s="106" t="inlineStr">
        <is>
          <t>발표</t>
        </is>
      </c>
      <c r="B28" s="92">
        <f>COUNTIFS(WBS!$B$5:$B$106,"발표",WBS!$L$5:$L$106,"&gt;0")</f>
        <v/>
      </c>
      <c r="C28" s="92">
        <f>COUNTIFS(WBS!$B$5:$B$106,"발표",WBS!$F$5:$F$106,"완료")</f>
        <v/>
      </c>
      <c r="D28" s="94">
        <f>IF($B28=0,"",$C28/$B28)</f>
        <v/>
      </c>
    </row>
    <row r="30">
      <c r="A30" s="107" t="inlineStr">
        <is>
          <t>상태 값은 WBS 시트에서만 변경하세요. 이 시트의 모든 수치는 자동 집계됩니다.</t>
        </is>
      </c>
    </row>
  </sheetData>
  <mergeCells count="5">
    <mergeCell ref="J16:L16"/>
    <mergeCell ref="J18:L18"/>
    <mergeCell ref="A3:M3"/>
    <mergeCell ref="J17:L17"/>
    <mergeCell ref="A2:M2"/>
  </mergeCells>
  <conditionalFormatting sqref="H7:H12">
    <cfRule type="dataBar" priority="1">
      <dataBar showValue="1">
        <cfvo type="num" val="0"/>
        <cfvo type="num" val="1"/>
        <color rgb="0080B1D8"/>
      </dataBar>
    </cfRule>
  </conditionalFormatting>
  <conditionalFormatting sqref="D23:D28">
    <cfRule type="dataBar" priority="2">
      <dataBar showValue="1">
        <cfvo type="num" val="0"/>
        <cfvo type="num" val="1"/>
        <color rgb="0080B1D8"/>
      </dataBar>
    </cfRule>
  </conditionalFormatting>
  <conditionalFormatting sqref="M16">
    <cfRule type="cellIs" priority="3" operator="greaterThan" dxfId="13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164B2"/>
    <outlinePr summaryBelow="1" summaryRight="1"/>
    <pageSetUpPr/>
  </sheetPr>
  <dimension ref="A1:AZ105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8" customWidth="1" min="2" max="2"/>
    <col width="6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11" customWidth="1" min="50" max="50"/>
    <col width="11" customWidth="1" min="51" max="51"/>
    <col width="11" customWidth="1" min="52" max="52"/>
  </cols>
  <sheetData>
    <row r="1" ht="32" customHeight="1">
      <c r="A1" s="108" t="inlineStr">
        <is>
          <t>간트차트 (2026.09.02 ~ 10.16) — OpsLoop</t>
        </is>
      </c>
    </row>
    <row r="2" ht="20" customHeight="1">
      <c r="A2" s="85" t="inlineStr">
        <is>
          <t>※ WBS 시트의 작업명 · 담당 · 날짜 · 상태와 실시간 연동됩니다. 이 시트는 직접 수정하지 마세요.</t>
        </is>
      </c>
    </row>
    <row r="3" ht="8" customHeight="1"/>
    <row r="4" ht="20" customHeight="1">
      <c r="A4" s="89" t="inlineStr">
        <is>
          <t>WBS ID</t>
        </is>
      </c>
      <c r="B4" s="89" t="inlineStr">
        <is>
          <t>작업명</t>
        </is>
      </c>
      <c r="C4" s="89" t="inlineStr">
        <is>
          <t>영역</t>
        </is>
      </c>
      <c r="D4" s="152" t="n">
        <v>46267</v>
      </c>
      <c r="E4" s="152" t="n">
        <v>46268</v>
      </c>
      <c r="F4" s="152" t="n">
        <v>46269</v>
      </c>
      <c r="G4" s="152" t="n">
        <v>46270</v>
      </c>
      <c r="H4" s="152" t="n">
        <v>46271</v>
      </c>
      <c r="I4" s="152" t="n">
        <v>46272</v>
      </c>
      <c r="J4" s="152" t="n">
        <v>46273</v>
      </c>
      <c r="K4" s="152" t="n">
        <v>46274</v>
      </c>
      <c r="L4" s="152" t="n">
        <v>46275</v>
      </c>
      <c r="M4" s="152" t="n">
        <v>46276</v>
      </c>
      <c r="N4" s="152" t="n">
        <v>46277</v>
      </c>
      <c r="O4" s="152" t="n">
        <v>46278</v>
      </c>
      <c r="P4" s="152" t="n">
        <v>46279</v>
      </c>
      <c r="Q4" s="152" t="n">
        <v>46280</v>
      </c>
      <c r="R4" s="152" t="n">
        <v>46281</v>
      </c>
      <c r="S4" s="152" t="n">
        <v>46282</v>
      </c>
      <c r="T4" s="152" t="n">
        <v>46283</v>
      </c>
      <c r="U4" s="152" t="n">
        <v>46284</v>
      </c>
      <c r="V4" s="152" t="n">
        <v>46285</v>
      </c>
      <c r="W4" s="152" t="n">
        <v>46286</v>
      </c>
      <c r="X4" s="152" t="n">
        <v>46287</v>
      </c>
      <c r="Y4" s="152" t="n">
        <v>46288</v>
      </c>
      <c r="Z4" s="152" t="n">
        <v>46289</v>
      </c>
      <c r="AA4" s="152" t="n">
        <v>46290</v>
      </c>
      <c r="AB4" s="152" t="n">
        <v>46291</v>
      </c>
      <c r="AC4" s="152" t="n">
        <v>46292</v>
      </c>
      <c r="AD4" s="152" t="n">
        <v>46293</v>
      </c>
      <c r="AE4" s="152" t="n">
        <v>46294</v>
      </c>
      <c r="AF4" s="152" t="n">
        <v>46295</v>
      </c>
      <c r="AG4" s="152" t="n">
        <v>46296</v>
      </c>
      <c r="AH4" s="152" t="n">
        <v>46297</v>
      </c>
      <c r="AI4" s="152" t="n">
        <v>46298</v>
      </c>
      <c r="AJ4" s="152" t="n">
        <v>46299</v>
      </c>
      <c r="AK4" s="152" t="n">
        <v>46300</v>
      </c>
      <c r="AL4" s="152" t="n">
        <v>46301</v>
      </c>
      <c r="AM4" s="152" t="n">
        <v>46302</v>
      </c>
      <c r="AN4" s="152" t="n">
        <v>46303</v>
      </c>
      <c r="AO4" s="152" t="n">
        <v>46304</v>
      </c>
      <c r="AP4" s="152" t="n">
        <v>46305</v>
      </c>
      <c r="AQ4" s="152" t="n">
        <v>46306</v>
      </c>
      <c r="AR4" s="152" t="n">
        <v>46307</v>
      </c>
      <c r="AS4" s="152" t="n">
        <v>46308</v>
      </c>
      <c r="AT4" s="152" t="n">
        <v>46309</v>
      </c>
      <c r="AU4" s="152" t="n">
        <v>46310</v>
      </c>
      <c r="AV4" s="152" t="n">
        <v>46311</v>
      </c>
      <c r="AX4" s="89" t="inlineStr">
        <is>
          <t>시작</t>
        </is>
      </c>
      <c r="AY4" s="89" t="inlineStr">
        <is>
          <t>종료</t>
        </is>
      </c>
      <c r="AZ4" s="89" t="inlineStr">
        <is>
          <t>상태</t>
        </is>
      </c>
    </row>
    <row r="5" ht="16" customHeight="1">
      <c r="A5" s="110" t="n"/>
      <c r="B5" s="110" t="n"/>
      <c r="C5" s="110" t="n"/>
      <c r="D5" s="111" t="inlineStr">
        <is>
          <t>수</t>
        </is>
      </c>
      <c r="E5" s="111" t="inlineStr">
        <is>
          <t>목</t>
        </is>
      </c>
      <c r="F5" s="111" t="inlineStr">
        <is>
          <t>금</t>
        </is>
      </c>
      <c r="G5" s="111" t="inlineStr">
        <is>
          <t>토</t>
        </is>
      </c>
      <c r="H5" s="111" t="inlineStr">
        <is>
          <t>일</t>
        </is>
      </c>
      <c r="I5" s="111" t="inlineStr">
        <is>
          <t>월</t>
        </is>
      </c>
      <c r="J5" s="111" t="inlineStr">
        <is>
          <t>화</t>
        </is>
      </c>
      <c r="K5" s="111" t="inlineStr">
        <is>
          <t>수</t>
        </is>
      </c>
      <c r="L5" s="111" t="inlineStr">
        <is>
          <t>목</t>
        </is>
      </c>
      <c r="M5" s="111" t="inlineStr">
        <is>
          <t>금</t>
        </is>
      </c>
      <c r="N5" s="111" t="inlineStr">
        <is>
          <t>토</t>
        </is>
      </c>
      <c r="O5" s="111" t="inlineStr">
        <is>
          <t>일</t>
        </is>
      </c>
      <c r="P5" s="111" t="inlineStr">
        <is>
          <t>월</t>
        </is>
      </c>
      <c r="Q5" s="111" t="inlineStr">
        <is>
          <t>화</t>
        </is>
      </c>
      <c r="R5" s="111" t="inlineStr">
        <is>
          <t>수</t>
        </is>
      </c>
      <c r="S5" s="111" t="inlineStr">
        <is>
          <t>목</t>
        </is>
      </c>
      <c r="T5" s="111" t="inlineStr">
        <is>
          <t>금</t>
        </is>
      </c>
      <c r="U5" s="111" t="inlineStr">
        <is>
          <t>토</t>
        </is>
      </c>
      <c r="V5" s="111" t="inlineStr">
        <is>
          <t>일</t>
        </is>
      </c>
      <c r="W5" s="111" t="inlineStr">
        <is>
          <t>월</t>
        </is>
      </c>
      <c r="X5" s="111" t="inlineStr">
        <is>
          <t>화</t>
        </is>
      </c>
      <c r="Y5" s="111" t="inlineStr">
        <is>
          <t>수</t>
        </is>
      </c>
      <c r="Z5" s="111" t="inlineStr">
        <is>
          <t>목</t>
        </is>
      </c>
      <c r="AA5" s="111" t="inlineStr">
        <is>
          <t>금</t>
        </is>
      </c>
      <c r="AB5" s="111" t="inlineStr">
        <is>
          <t>토</t>
        </is>
      </c>
      <c r="AC5" s="111" t="inlineStr">
        <is>
          <t>일</t>
        </is>
      </c>
      <c r="AD5" s="111" t="inlineStr">
        <is>
          <t>월</t>
        </is>
      </c>
      <c r="AE5" s="111" t="inlineStr">
        <is>
          <t>화</t>
        </is>
      </c>
      <c r="AF5" s="111" t="inlineStr">
        <is>
          <t>수</t>
        </is>
      </c>
      <c r="AG5" s="111" t="inlineStr">
        <is>
          <t>목</t>
        </is>
      </c>
      <c r="AH5" s="111" t="inlineStr">
        <is>
          <t>금</t>
        </is>
      </c>
      <c r="AI5" s="111" t="inlineStr">
        <is>
          <t>토</t>
        </is>
      </c>
      <c r="AJ5" s="111" t="inlineStr">
        <is>
          <t>일</t>
        </is>
      </c>
      <c r="AK5" s="111" t="inlineStr">
        <is>
          <t>월</t>
        </is>
      </c>
      <c r="AL5" s="111" t="inlineStr">
        <is>
          <t>화</t>
        </is>
      </c>
      <c r="AM5" s="111" t="inlineStr">
        <is>
          <t>수</t>
        </is>
      </c>
      <c r="AN5" s="111" t="inlineStr">
        <is>
          <t>목</t>
        </is>
      </c>
      <c r="AO5" s="111" t="inlineStr">
        <is>
          <t>금</t>
        </is>
      </c>
      <c r="AP5" s="111" t="inlineStr">
        <is>
          <t>토</t>
        </is>
      </c>
      <c r="AQ5" s="111" t="inlineStr">
        <is>
          <t>일</t>
        </is>
      </c>
      <c r="AR5" s="111" t="inlineStr">
        <is>
          <t>월</t>
        </is>
      </c>
      <c r="AS5" s="111" t="inlineStr">
        <is>
          <t>화</t>
        </is>
      </c>
      <c r="AT5" s="111" t="inlineStr">
        <is>
          <t>수</t>
        </is>
      </c>
      <c r="AU5" s="111" t="inlineStr">
        <is>
          <t>목</t>
        </is>
      </c>
      <c r="AV5" s="111" t="inlineStr">
        <is>
          <t>금</t>
        </is>
      </c>
      <c r="AX5" s="112" t="n"/>
      <c r="AY5" s="112" t="n"/>
      <c r="AZ5" s="112" t="n"/>
    </row>
    <row r="6" ht="18" customHeight="1">
      <c r="A6" s="113" t="inlineStr">
        <is>
          <t>1.1</t>
        </is>
      </c>
      <c r="B6" s="114">
        <f>WBS!C6</f>
        <v/>
      </c>
      <c r="C6" s="115">
        <f>WBS!D6</f>
        <v/>
      </c>
      <c r="D6" s="116" t="n"/>
      <c r="E6" s="116" t="n"/>
      <c r="F6" s="116" t="n"/>
      <c r="G6" s="116" t="n"/>
      <c r="H6" s="116" t="n"/>
      <c r="I6" s="116" t="n"/>
      <c r="J6" s="116" t="n"/>
      <c r="K6" s="116" t="n"/>
      <c r="L6" s="116" t="n"/>
      <c r="M6" s="116" t="n"/>
      <c r="N6" s="116" t="n"/>
      <c r="O6" s="116" t="n"/>
      <c r="P6" s="116" t="n"/>
      <c r="Q6" s="116" t="n"/>
      <c r="R6" s="116" t="n"/>
      <c r="S6" s="116" t="n"/>
      <c r="T6" s="116" t="n"/>
      <c r="U6" s="116" t="n"/>
      <c r="V6" s="116" t="n"/>
      <c r="W6" s="116" t="n"/>
      <c r="X6" s="116" t="n"/>
      <c r="Y6" s="116" t="n"/>
      <c r="Z6" s="116" t="n"/>
      <c r="AA6" s="116" t="n"/>
      <c r="AB6" s="116" t="n"/>
      <c r="AC6" s="116" t="n"/>
      <c r="AD6" s="116" t="n"/>
      <c r="AE6" s="116" t="n"/>
      <c r="AF6" s="116" t="n"/>
      <c r="AG6" s="116" t="n"/>
      <c r="AH6" s="116" t="n"/>
      <c r="AI6" s="116" t="n"/>
      <c r="AJ6" s="116" t="n"/>
      <c r="AK6" s="116" t="n"/>
      <c r="AL6" s="116" t="n"/>
      <c r="AM6" s="116" t="n"/>
      <c r="AN6" s="116" t="n"/>
      <c r="AO6" s="116" t="n"/>
      <c r="AP6" s="116" t="n"/>
      <c r="AQ6" s="116" t="n"/>
      <c r="AR6" s="116" t="n"/>
      <c r="AS6" s="116" t="n"/>
      <c r="AT6" s="116" t="n"/>
      <c r="AU6" s="116" t="n"/>
      <c r="AV6" s="116" t="n"/>
      <c r="AX6" s="117">
        <f>WBS!G6</f>
        <v/>
      </c>
      <c r="AY6" s="117">
        <f>WBS!H6</f>
        <v/>
      </c>
      <c r="AZ6" s="115">
        <f>WBS!F6</f>
        <v/>
      </c>
    </row>
    <row r="7" ht="18" customHeight="1">
      <c r="A7" s="113" t="inlineStr">
        <is>
          <t>1.2</t>
        </is>
      </c>
      <c r="B7" s="114">
        <f>WBS!C7</f>
        <v/>
      </c>
      <c r="C7" s="115">
        <f>WBS!D7</f>
        <v/>
      </c>
      <c r="D7" s="116" t="n"/>
      <c r="E7" s="116" t="n"/>
      <c r="F7" s="116" t="n"/>
      <c r="G7" s="116" t="n"/>
      <c r="H7" s="116" t="n"/>
      <c r="I7" s="116" t="n"/>
      <c r="J7" s="116" t="n"/>
      <c r="K7" s="116" t="n"/>
      <c r="L7" s="116" t="n"/>
      <c r="M7" s="116" t="n"/>
      <c r="N7" s="116" t="n"/>
      <c r="O7" s="116" t="n"/>
      <c r="P7" s="116" t="n"/>
      <c r="Q7" s="116" t="n"/>
      <c r="R7" s="116" t="n"/>
      <c r="S7" s="116" t="n"/>
      <c r="T7" s="116" t="n"/>
      <c r="U7" s="116" t="n"/>
      <c r="V7" s="116" t="n"/>
      <c r="W7" s="116" t="n"/>
      <c r="X7" s="116" t="n"/>
      <c r="Y7" s="116" t="n"/>
      <c r="Z7" s="116" t="n"/>
      <c r="AA7" s="116" t="n"/>
      <c r="AB7" s="116" t="n"/>
      <c r="AC7" s="116" t="n"/>
      <c r="AD7" s="116" t="n"/>
      <c r="AE7" s="116" t="n"/>
      <c r="AF7" s="116" t="n"/>
      <c r="AG7" s="116" t="n"/>
      <c r="AH7" s="116" t="n"/>
      <c r="AI7" s="116" t="n"/>
      <c r="AJ7" s="116" t="n"/>
      <c r="AK7" s="116" t="n"/>
      <c r="AL7" s="116" t="n"/>
      <c r="AM7" s="116" t="n"/>
      <c r="AN7" s="116" t="n"/>
      <c r="AO7" s="116" t="n"/>
      <c r="AP7" s="116" t="n"/>
      <c r="AQ7" s="116" t="n"/>
      <c r="AR7" s="116" t="n"/>
      <c r="AS7" s="116" t="n"/>
      <c r="AT7" s="116" t="n"/>
      <c r="AU7" s="116" t="n"/>
      <c r="AV7" s="116" t="n"/>
      <c r="AX7" s="117">
        <f>WBS!G7</f>
        <v/>
      </c>
      <c r="AY7" s="117">
        <f>WBS!H7</f>
        <v/>
      </c>
      <c r="AZ7" s="115">
        <f>WBS!F7</f>
        <v/>
      </c>
    </row>
    <row r="8" ht="18" customHeight="1">
      <c r="A8" s="113" t="inlineStr">
        <is>
          <t>1.3</t>
        </is>
      </c>
      <c r="B8" s="114">
        <f>WBS!C8</f>
        <v/>
      </c>
      <c r="C8" s="115">
        <f>WBS!D8</f>
        <v/>
      </c>
      <c r="D8" s="116" t="n"/>
      <c r="E8" s="116" t="n"/>
      <c r="F8" s="116" t="n"/>
      <c r="G8" s="116" t="n"/>
      <c r="H8" s="116" t="n"/>
      <c r="I8" s="116" t="n"/>
      <c r="J8" s="116" t="n"/>
      <c r="K8" s="116" t="n"/>
      <c r="L8" s="116" t="n"/>
      <c r="M8" s="116" t="n"/>
      <c r="N8" s="116" t="n"/>
      <c r="O8" s="116" t="n"/>
      <c r="P8" s="116" t="n"/>
      <c r="Q8" s="116" t="n"/>
      <c r="R8" s="116" t="n"/>
      <c r="S8" s="116" t="n"/>
      <c r="T8" s="116" t="n"/>
      <c r="U8" s="116" t="n"/>
      <c r="V8" s="116" t="n"/>
      <c r="W8" s="116" t="n"/>
      <c r="X8" s="116" t="n"/>
      <c r="Y8" s="116" t="n"/>
      <c r="Z8" s="116" t="n"/>
      <c r="AA8" s="116" t="n"/>
      <c r="AB8" s="116" t="n"/>
      <c r="AC8" s="116" t="n"/>
      <c r="AD8" s="116" t="n"/>
      <c r="AE8" s="116" t="n"/>
      <c r="AF8" s="116" t="n"/>
      <c r="AG8" s="116" t="n"/>
      <c r="AH8" s="116" t="n"/>
      <c r="AI8" s="116" t="n"/>
      <c r="AJ8" s="116" t="n"/>
      <c r="AK8" s="116" t="n"/>
      <c r="AL8" s="116" t="n"/>
      <c r="AM8" s="116" t="n"/>
      <c r="AN8" s="116" t="n"/>
      <c r="AO8" s="116" t="n"/>
      <c r="AP8" s="116" t="n"/>
      <c r="AQ8" s="116" t="n"/>
      <c r="AR8" s="116" t="n"/>
      <c r="AS8" s="116" t="n"/>
      <c r="AT8" s="116" t="n"/>
      <c r="AU8" s="116" t="n"/>
      <c r="AV8" s="116" t="n"/>
      <c r="AX8" s="117">
        <f>WBS!G8</f>
        <v/>
      </c>
      <c r="AY8" s="117">
        <f>WBS!H8</f>
        <v/>
      </c>
      <c r="AZ8" s="115">
        <f>WBS!F8</f>
        <v/>
      </c>
    </row>
    <row r="9" ht="18" customHeight="1">
      <c r="A9" s="113" t="inlineStr">
        <is>
          <t>1.4</t>
        </is>
      </c>
      <c r="B9" s="114">
        <f>WBS!C9</f>
        <v/>
      </c>
      <c r="C9" s="115">
        <f>WBS!D9</f>
        <v/>
      </c>
      <c r="D9" s="116" t="n"/>
      <c r="E9" s="116" t="n"/>
      <c r="F9" s="116" t="n"/>
      <c r="G9" s="116" t="n"/>
      <c r="H9" s="116" t="n"/>
      <c r="I9" s="116" t="n"/>
      <c r="J9" s="116" t="n"/>
      <c r="K9" s="116" t="n"/>
      <c r="L9" s="116" t="n"/>
      <c r="M9" s="116" t="n"/>
      <c r="N9" s="116" t="n"/>
      <c r="O9" s="116" t="n"/>
      <c r="P9" s="116" t="n"/>
      <c r="Q9" s="116" t="n"/>
      <c r="R9" s="116" t="n"/>
      <c r="S9" s="116" t="n"/>
      <c r="T9" s="116" t="n"/>
      <c r="U9" s="116" t="n"/>
      <c r="V9" s="116" t="n"/>
      <c r="W9" s="116" t="n"/>
      <c r="X9" s="116" t="n"/>
      <c r="Y9" s="116" t="n"/>
      <c r="Z9" s="116" t="n"/>
      <c r="AA9" s="116" t="n"/>
      <c r="AB9" s="116" t="n"/>
      <c r="AC9" s="116" t="n"/>
      <c r="AD9" s="116" t="n"/>
      <c r="AE9" s="116" t="n"/>
      <c r="AF9" s="116" t="n"/>
      <c r="AG9" s="116" t="n"/>
      <c r="AH9" s="116" t="n"/>
      <c r="AI9" s="116" t="n"/>
      <c r="AJ9" s="116" t="n"/>
      <c r="AK9" s="116" t="n"/>
      <c r="AL9" s="116" t="n"/>
      <c r="AM9" s="116" t="n"/>
      <c r="AN9" s="116" t="n"/>
      <c r="AO9" s="116" t="n"/>
      <c r="AP9" s="116" t="n"/>
      <c r="AQ9" s="116" t="n"/>
      <c r="AR9" s="116" t="n"/>
      <c r="AS9" s="116" t="n"/>
      <c r="AT9" s="116" t="n"/>
      <c r="AU9" s="116" t="n"/>
      <c r="AV9" s="116" t="n"/>
      <c r="AX9" s="117">
        <f>WBS!G9</f>
        <v/>
      </c>
      <c r="AY9" s="117">
        <f>WBS!H9</f>
        <v/>
      </c>
      <c r="AZ9" s="115">
        <f>WBS!F9</f>
        <v/>
      </c>
    </row>
    <row r="10" ht="18" customHeight="1">
      <c r="A10" s="113" t="inlineStr">
        <is>
          <t>1.5</t>
        </is>
      </c>
      <c r="B10" s="114">
        <f>WBS!C10</f>
        <v/>
      </c>
      <c r="C10" s="115">
        <f>WBS!D10</f>
        <v/>
      </c>
      <c r="D10" s="116" t="n"/>
      <c r="E10" s="116" t="n"/>
      <c r="F10" s="116" t="n"/>
      <c r="G10" s="116" t="n"/>
      <c r="H10" s="116" t="n"/>
      <c r="I10" s="116" t="n"/>
      <c r="J10" s="116" t="n"/>
      <c r="K10" s="116" t="n"/>
      <c r="L10" s="116" t="n"/>
      <c r="M10" s="116" t="n"/>
      <c r="N10" s="116" t="n"/>
      <c r="O10" s="116" t="n"/>
      <c r="P10" s="116" t="n"/>
      <c r="Q10" s="116" t="n"/>
      <c r="R10" s="116" t="n"/>
      <c r="S10" s="116" t="n"/>
      <c r="T10" s="116" t="n"/>
      <c r="U10" s="116" t="n"/>
      <c r="V10" s="116" t="n"/>
      <c r="W10" s="116" t="n"/>
      <c r="X10" s="116" t="n"/>
      <c r="Y10" s="116" t="n"/>
      <c r="Z10" s="116" t="n"/>
      <c r="AA10" s="116" t="n"/>
      <c r="AB10" s="116" t="n"/>
      <c r="AC10" s="116" t="n"/>
      <c r="AD10" s="116" t="n"/>
      <c r="AE10" s="116" t="n"/>
      <c r="AF10" s="116" t="n"/>
      <c r="AG10" s="116" t="n"/>
      <c r="AH10" s="116" t="n"/>
      <c r="AI10" s="116" t="n"/>
      <c r="AJ10" s="116" t="n"/>
      <c r="AK10" s="116" t="n"/>
      <c r="AL10" s="116" t="n"/>
      <c r="AM10" s="116" t="n"/>
      <c r="AN10" s="116" t="n"/>
      <c r="AO10" s="116" t="n"/>
      <c r="AP10" s="116" t="n"/>
      <c r="AQ10" s="116" t="n"/>
      <c r="AR10" s="116" t="n"/>
      <c r="AS10" s="116" t="n"/>
      <c r="AT10" s="116" t="n"/>
      <c r="AU10" s="116" t="n"/>
      <c r="AV10" s="116" t="n"/>
      <c r="AX10" s="117">
        <f>WBS!G10</f>
        <v/>
      </c>
      <c r="AY10" s="117">
        <f>WBS!H10</f>
        <v/>
      </c>
      <c r="AZ10" s="115">
        <f>WBS!F10</f>
        <v/>
      </c>
    </row>
    <row r="11" ht="18" customHeight="1">
      <c r="A11" s="113" t="inlineStr">
        <is>
          <t>1.6</t>
        </is>
      </c>
      <c r="B11" s="114">
        <f>WBS!C11</f>
        <v/>
      </c>
      <c r="C11" s="115">
        <f>WBS!D11</f>
        <v/>
      </c>
      <c r="D11" s="116" t="n"/>
      <c r="E11" s="116" t="n"/>
      <c r="F11" s="116" t="n"/>
      <c r="G11" s="116" t="n"/>
      <c r="H11" s="116" t="n"/>
      <c r="I11" s="116" t="n"/>
      <c r="J11" s="116" t="n"/>
      <c r="K11" s="116" t="n"/>
      <c r="L11" s="116" t="n"/>
      <c r="M11" s="116" t="n"/>
      <c r="N11" s="116" t="n"/>
      <c r="O11" s="116" t="n"/>
      <c r="P11" s="116" t="n"/>
      <c r="Q11" s="116" t="n"/>
      <c r="R11" s="116" t="n"/>
      <c r="S11" s="116" t="n"/>
      <c r="T11" s="116" t="n"/>
      <c r="U11" s="116" t="n"/>
      <c r="V11" s="116" t="n"/>
      <c r="W11" s="116" t="n"/>
      <c r="X11" s="116" t="n"/>
      <c r="Y11" s="116" t="n"/>
      <c r="Z11" s="116" t="n"/>
      <c r="AA11" s="116" t="n"/>
      <c r="AB11" s="116" t="n"/>
      <c r="AC11" s="116" t="n"/>
      <c r="AD11" s="116" t="n"/>
      <c r="AE11" s="116" t="n"/>
      <c r="AF11" s="116" t="n"/>
      <c r="AG11" s="116" t="n"/>
      <c r="AH11" s="116" t="n"/>
      <c r="AI11" s="116" t="n"/>
      <c r="AJ11" s="116" t="n"/>
      <c r="AK11" s="116" t="n"/>
      <c r="AL11" s="116" t="n"/>
      <c r="AM11" s="116" t="n"/>
      <c r="AN11" s="116" t="n"/>
      <c r="AO11" s="116" t="n"/>
      <c r="AP11" s="116" t="n"/>
      <c r="AQ11" s="116" t="n"/>
      <c r="AR11" s="116" t="n"/>
      <c r="AS11" s="116" t="n"/>
      <c r="AT11" s="116" t="n"/>
      <c r="AU11" s="116" t="n"/>
      <c r="AV11" s="116" t="n"/>
      <c r="AX11" s="117">
        <f>WBS!G11</f>
        <v/>
      </c>
      <c r="AY11" s="117">
        <f>WBS!H11</f>
        <v/>
      </c>
      <c r="AZ11" s="115">
        <f>WBS!F11</f>
        <v/>
      </c>
    </row>
    <row r="12" ht="18" customHeight="1">
      <c r="A12" s="113" t="inlineStr">
        <is>
          <t>1.7</t>
        </is>
      </c>
      <c r="B12" s="114">
        <f>WBS!C12</f>
        <v/>
      </c>
      <c r="C12" s="115">
        <f>WBS!D12</f>
        <v/>
      </c>
      <c r="D12" s="116" t="n"/>
      <c r="E12" s="116" t="n"/>
      <c r="F12" s="116" t="n"/>
      <c r="G12" s="116" t="n"/>
      <c r="H12" s="116" t="n"/>
      <c r="I12" s="116" t="n"/>
      <c r="J12" s="116" t="n"/>
      <c r="K12" s="116" t="n"/>
      <c r="L12" s="116" t="n"/>
      <c r="M12" s="116" t="n"/>
      <c r="N12" s="116" t="n"/>
      <c r="O12" s="116" t="n"/>
      <c r="P12" s="116" t="n"/>
      <c r="Q12" s="116" t="n"/>
      <c r="R12" s="116" t="n"/>
      <c r="S12" s="116" t="n"/>
      <c r="T12" s="116" t="n"/>
      <c r="U12" s="116" t="n"/>
      <c r="V12" s="116" t="n"/>
      <c r="W12" s="116" t="n"/>
      <c r="X12" s="116" t="n"/>
      <c r="Y12" s="116" t="n"/>
      <c r="Z12" s="116" t="n"/>
      <c r="AA12" s="116" t="n"/>
      <c r="AB12" s="116" t="n"/>
      <c r="AC12" s="116" t="n"/>
      <c r="AD12" s="116" t="n"/>
      <c r="AE12" s="116" t="n"/>
      <c r="AF12" s="116" t="n"/>
      <c r="AG12" s="116" t="n"/>
      <c r="AH12" s="116" t="n"/>
      <c r="AI12" s="116" t="n"/>
      <c r="AJ12" s="116" t="n"/>
      <c r="AK12" s="116" t="n"/>
      <c r="AL12" s="116" t="n"/>
      <c r="AM12" s="116" t="n"/>
      <c r="AN12" s="116" t="n"/>
      <c r="AO12" s="116" t="n"/>
      <c r="AP12" s="116" t="n"/>
      <c r="AQ12" s="116" t="n"/>
      <c r="AR12" s="116" t="n"/>
      <c r="AS12" s="116" t="n"/>
      <c r="AT12" s="116" t="n"/>
      <c r="AU12" s="116" t="n"/>
      <c r="AV12" s="116" t="n"/>
      <c r="AX12" s="117">
        <f>WBS!G12</f>
        <v/>
      </c>
      <c r="AY12" s="117">
        <f>WBS!H12</f>
        <v/>
      </c>
      <c r="AZ12" s="115">
        <f>WBS!F12</f>
        <v/>
      </c>
    </row>
    <row r="13" ht="18" customHeight="1">
      <c r="A13" s="118" t="inlineStr">
        <is>
          <t>2.0</t>
        </is>
      </c>
      <c r="B13" s="119">
        <f>WBS!C13</f>
        <v/>
      </c>
      <c r="C13" s="118">
        <f>WBS!D13</f>
        <v/>
      </c>
      <c r="D13" s="120" t="n"/>
      <c r="E13" s="120" t="n"/>
      <c r="F13" s="120" t="n"/>
      <c r="G13" s="120" t="n"/>
      <c r="H13" s="120" t="n"/>
      <c r="I13" s="120" t="n"/>
      <c r="J13" s="120" t="n"/>
      <c r="K13" s="120" t="n"/>
      <c r="L13" s="120" t="n"/>
      <c r="M13" s="120" t="n"/>
      <c r="N13" s="120" t="n"/>
      <c r="O13" s="120" t="n"/>
      <c r="P13" s="120" t="n"/>
      <c r="Q13" s="120" t="n"/>
      <c r="R13" s="120" t="n"/>
      <c r="S13" s="120" t="n"/>
      <c r="T13" s="120" t="n"/>
      <c r="U13" s="120" t="n"/>
      <c r="V13" s="120" t="n"/>
      <c r="W13" s="120" t="n"/>
      <c r="X13" s="120" t="n"/>
      <c r="Y13" s="120" t="n"/>
      <c r="Z13" s="120" t="n"/>
      <c r="AA13" s="120" t="n"/>
      <c r="AB13" s="120" t="n"/>
      <c r="AC13" s="120" t="n"/>
      <c r="AD13" s="120" t="n"/>
      <c r="AE13" s="120" t="n"/>
      <c r="AF13" s="120" t="n"/>
      <c r="AG13" s="120" t="n"/>
      <c r="AH13" s="120" t="n"/>
      <c r="AI13" s="120" t="n"/>
      <c r="AJ13" s="120" t="n"/>
      <c r="AK13" s="120" t="n"/>
      <c r="AL13" s="120" t="n"/>
      <c r="AM13" s="120" t="n"/>
      <c r="AN13" s="120" t="n"/>
      <c r="AO13" s="120" t="n"/>
      <c r="AP13" s="120" t="n"/>
      <c r="AQ13" s="120" t="n"/>
      <c r="AR13" s="120" t="n"/>
      <c r="AS13" s="120" t="n"/>
      <c r="AT13" s="120" t="n"/>
      <c r="AU13" s="120" t="n"/>
      <c r="AV13" s="120" t="n"/>
      <c r="AX13" s="121">
        <f>WBS!G13</f>
        <v/>
      </c>
      <c r="AY13" s="121">
        <f>WBS!H13</f>
        <v/>
      </c>
      <c r="AZ13" s="118">
        <f>WBS!F13</f>
        <v/>
      </c>
    </row>
    <row r="14" ht="18" customHeight="1">
      <c r="A14" s="113" t="inlineStr">
        <is>
          <t>2.1</t>
        </is>
      </c>
      <c r="B14" s="114">
        <f>WBS!C14</f>
        <v/>
      </c>
      <c r="C14" s="115">
        <f>WBS!D14</f>
        <v/>
      </c>
      <c r="D14" s="116" t="n"/>
      <c r="E14" s="116" t="n"/>
      <c r="F14" s="116" t="n"/>
      <c r="G14" s="116" t="n"/>
      <c r="H14" s="116" t="n"/>
      <c r="I14" s="116" t="n"/>
      <c r="J14" s="116" t="n"/>
      <c r="K14" s="116" t="n"/>
      <c r="L14" s="116" t="n"/>
      <c r="M14" s="116" t="n"/>
      <c r="N14" s="116" t="n"/>
      <c r="O14" s="116" t="n"/>
      <c r="P14" s="116" t="n"/>
      <c r="Q14" s="116" t="n"/>
      <c r="R14" s="116" t="n"/>
      <c r="S14" s="116" t="n"/>
      <c r="T14" s="116" t="n"/>
      <c r="U14" s="116" t="n"/>
      <c r="V14" s="116" t="n"/>
      <c r="W14" s="116" t="n"/>
      <c r="X14" s="116" t="n"/>
      <c r="Y14" s="116" t="n"/>
      <c r="Z14" s="116" t="n"/>
      <c r="AA14" s="116" t="n"/>
      <c r="AB14" s="116" t="n"/>
      <c r="AC14" s="116" t="n"/>
      <c r="AD14" s="116" t="n"/>
      <c r="AE14" s="116" t="n"/>
      <c r="AF14" s="116" t="n"/>
      <c r="AG14" s="116" t="n"/>
      <c r="AH14" s="116" t="n"/>
      <c r="AI14" s="116" t="n"/>
      <c r="AJ14" s="116" t="n"/>
      <c r="AK14" s="116" t="n"/>
      <c r="AL14" s="116" t="n"/>
      <c r="AM14" s="116" t="n"/>
      <c r="AN14" s="116" t="n"/>
      <c r="AO14" s="116" t="n"/>
      <c r="AP14" s="116" t="n"/>
      <c r="AQ14" s="116" t="n"/>
      <c r="AR14" s="116" t="n"/>
      <c r="AS14" s="116" t="n"/>
      <c r="AT14" s="116" t="n"/>
      <c r="AU14" s="116" t="n"/>
      <c r="AV14" s="116" t="n"/>
      <c r="AX14" s="117">
        <f>WBS!G14</f>
        <v/>
      </c>
      <c r="AY14" s="117">
        <f>WBS!H14</f>
        <v/>
      </c>
      <c r="AZ14" s="115">
        <f>WBS!F14</f>
        <v/>
      </c>
    </row>
    <row r="15" ht="18" customHeight="1">
      <c r="A15" s="113" t="inlineStr">
        <is>
          <t>2.2</t>
        </is>
      </c>
      <c r="B15" s="114">
        <f>WBS!C15</f>
        <v/>
      </c>
      <c r="C15" s="115">
        <f>WBS!D15</f>
        <v/>
      </c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6" t="n"/>
      <c r="Q15" s="116" t="n"/>
      <c r="R15" s="116" t="n"/>
      <c r="S15" s="116" t="n"/>
      <c r="T15" s="116" t="n"/>
      <c r="U15" s="116" t="n"/>
      <c r="V15" s="116" t="n"/>
      <c r="W15" s="116" t="n"/>
      <c r="X15" s="116" t="n"/>
      <c r="Y15" s="116" t="n"/>
      <c r="Z15" s="116" t="n"/>
      <c r="AA15" s="116" t="n"/>
      <c r="AB15" s="116" t="n"/>
      <c r="AC15" s="116" t="n"/>
      <c r="AD15" s="116" t="n"/>
      <c r="AE15" s="116" t="n"/>
      <c r="AF15" s="116" t="n"/>
      <c r="AG15" s="116" t="n"/>
      <c r="AH15" s="116" t="n"/>
      <c r="AI15" s="116" t="n"/>
      <c r="AJ15" s="116" t="n"/>
      <c r="AK15" s="116" t="n"/>
      <c r="AL15" s="116" t="n"/>
      <c r="AM15" s="116" t="n"/>
      <c r="AN15" s="116" t="n"/>
      <c r="AO15" s="116" t="n"/>
      <c r="AP15" s="116" t="n"/>
      <c r="AQ15" s="116" t="n"/>
      <c r="AR15" s="116" t="n"/>
      <c r="AS15" s="116" t="n"/>
      <c r="AT15" s="116" t="n"/>
      <c r="AU15" s="116" t="n"/>
      <c r="AV15" s="116" t="n"/>
      <c r="AX15" s="117">
        <f>WBS!G15</f>
        <v/>
      </c>
      <c r="AY15" s="117">
        <f>WBS!H15</f>
        <v/>
      </c>
      <c r="AZ15" s="115">
        <f>WBS!F15</f>
        <v/>
      </c>
    </row>
    <row r="16" ht="18" customHeight="1">
      <c r="A16" s="113" t="inlineStr">
        <is>
          <t>2.3</t>
        </is>
      </c>
      <c r="B16" s="114">
        <f>WBS!C16</f>
        <v/>
      </c>
      <c r="C16" s="115">
        <f>WBS!D16</f>
        <v/>
      </c>
      <c r="D16" s="116" t="n"/>
      <c r="E16" s="116" t="n"/>
      <c r="F16" s="116" t="n"/>
      <c r="G16" s="116" t="n"/>
      <c r="H16" s="116" t="n"/>
      <c r="I16" s="116" t="n"/>
      <c r="J16" s="116" t="n"/>
      <c r="K16" s="116" t="n"/>
      <c r="L16" s="116" t="n"/>
      <c r="M16" s="116" t="n"/>
      <c r="N16" s="116" t="n"/>
      <c r="O16" s="116" t="n"/>
      <c r="P16" s="116" t="n"/>
      <c r="Q16" s="116" t="n"/>
      <c r="R16" s="116" t="n"/>
      <c r="S16" s="116" t="n"/>
      <c r="T16" s="116" t="n"/>
      <c r="U16" s="116" t="n"/>
      <c r="V16" s="116" t="n"/>
      <c r="W16" s="116" t="n"/>
      <c r="X16" s="116" t="n"/>
      <c r="Y16" s="116" t="n"/>
      <c r="Z16" s="116" t="n"/>
      <c r="AA16" s="116" t="n"/>
      <c r="AB16" s="116" t="n"/>
      <c r="AC16" s="116" t="n"/>
      <c r="AD16" s="116" t="n"/>
      <c r="AE16" s="116" t="n"/>
      <c r="AF16" s="116" t="n"/>
      <c r="AG16" s="116" t="n"/>
      <c r="AH16" s="116" t="n"/>
      <c r="AI16" s="116" t="n"/>
      <c r="AJ16" s="116" t="n"/>
      <c r="AK16" s="116" t="n"/>
      <c r="AL16" s="116" t="n"/>
      <c r="AM16" s="116" t="n"/>
      <c r="AN16" s="116" t="n"/>
      <c r="AO16" s="116" t="n"/>
      <c r="AP16" s="116" t="n"/>
      <c r="AQ16" s="116" t="n"/>
      <c r="AR16" s="116" t="n"/>
      <c r="AS16" s="116" t="n"/>
      <c r="AT16" s="116" t="n"/>
      <c r="AU16" s="116" t="n"/>
      <c r="AV16" s="116" t="n"/>
      <c r="AX16" s="117">
        <f>WBS!G16</f>
        <v/>
      </c>
      <c r="AY16" s="117">
        <f>WBS!H16</f>
        <v/>
      </c>
      <c r="AZ16" s="115">
        <f>WBS!F16</f>
        <v/>
      </c>
    </row>
    <row r="17" ht="18" customHeight="1">
      <c r="A17" s="113" t="inlineStr">
        <is>
          <t>2.4</t>
        </is>
      </c>
      <c r="B17" s="114">
        <f>WBS!C17</f>
        <v/>
      </c>
      <c r="C17" s="115">
        <f>WBS!D17</f>
        <v/>
      </c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  <c r="S17" s="116" t="n"/>
      <c r="T17" s="116" t="n"/>
      <c r="U17" s="116" t="n"/>
      <c r="V17" s="116" t="n"/>
      <c r="W17" s="116" t="n"/>
      <c r="X17" s="116" t="n"/>
      <c r="Y17" s="116" t="n"/>
      <c r="Z17" s="116" t="n"/>
      <c r="AA17" s="116" t="n"/>
      <c r="AB17" s="116" t="n"/>
      <c r="AC17" s="116" t="n"/>
      <c r="AD17" s="116" t="n"/>
      <c r="AE17" s="116" t="n"/>
      <c r="AF17" s="116" t="n"/>
      <c r="AG17" s="116" t="n"/>
      <c r="AH17" s="116" t="n"/>
      <c r="AI17" s="116" t="n"/>
      <c r="AJ17" s="116" t="n"/>
      <c r="AK17" s="116" t="n"/>
      <c r="AL17" s="116" t="n"/>
      <c r="AM17" s="116" t="n"/>
      <c r="AN17" s="116" t="n"/>
      <c r="AO17" s="116" t="n"/>
      <c r="AP17" s="116" t="n"/>
      <c r="AQ17" s="116" t="n"/>
      <c r="AR17" s="116" t="n"/>
      <c r="AS17" s="116" t="n"/>
      <c r="AT17" s="116" t="n"/>
      <c r="AU17" s="116" t="n"/>
      <c r="AV17" s="116" t="n"/>
      <c r="AX17" s="117">
        <f>WBS!G17</f>
        <v/>
      </c>
      <c r="AY17" s="117">
        <f>WBS!H17</f>
        <v/>
      </c>
      <c r="AZ17" s="115">
        <f>WBS!F17</f>
        <v/>
      </c>
    </row>
    <row r="18" ht="18" customHeight="1">
      <c r="A18" s="113" t="inlineStr">
        <is>
          <t>2.5</t>
        </is>
      </c>
      <c r="B18" s="114">
        <f>WBS!C18</f>
        <v/>
      </c>
      <c r="C18" s="115">
        <f>WBS!D18</f>
        <v/>
      </c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  <c r="S18" s="116" t="n"/>
      <c r="T18" s="116" t="n"/>
      <c r="U18" s="116" t="n"/>
      <c r="V18" s="116" t="n"/>
      <c r="W18" s="116" t="n"/>
      <c r="X18" s="116" t="n"/>
      <c r="Y18" s="116" t="n"/>
      <c r="Z18" s="116" t="n"/>
      <c r="AA18" s="116" t="n"/>
      <c r="AB18" s="116" t="n"/>
      <c r="AC18" s="116" t="n"/>
      <c r="AD18" s="116" t="n"/>
      <c r="AE18" s="116" t="n"/>
      <c r="AF18" s="116" t="n"/>
      <c r="AG18" s="116" t="n"/>
      <c r="AH18" s="116" t="n"/>
      <c r="AI18" s="116" t="n"/>
      <c r="AJ18" s="116" t="n"/>
      <c r="AK18" s="116" t="n"/>
      <c r="AL18" s="116" t="n"/>
      <c r="AM18" s="116" t="n"/>
      <c r="AN18" s="116" t="n"/>
      <c r="AO18" s="116" t="n"/>
      <c r="AP18" s="116" t="n"/>
      <c r="AQ18" s="116" t="n"/>
      <c r="AR18" s="116" t="n"/>
      <c r="AS18" s="116" t="n"/>
      <c r="AT18" s="116" t="n"/>
      <c r="AU18" s="116" t="n"/>
      <c r="AV18" s="116" t="n"/>
      <c r="AX18" s="117">
        <f>WBS!G18</f>
        <v/>
      </c>
      <c r="AY18" s="117">
        <f>WBS!H18</f>
        <v/>
      </c>
      <c r="AZ18" s="115">
        <f>WBS!F18</f>
        <v/>
      </c>
    </row>
    <row r="19" ht="18" customHeight="1">
      <c r="A19" s="113" t="inlineStr">
        <is>
          <t>2.6</t>
        </is>
      </c>
      <c r="B19" s="114">
        <f>WBS!C19</f>
        <v/>
      </c>
      <c r="C19" s="115">
        <f>WBS!D19</f>
        <v/>
      </c>
      <c r="D19" s="116" t="n"/>
      <c r="E19" s="116" t="n"/>
      <c r="F19" s="116" t="n"/>
      <c r="G19" s="116" t="n"/>
      <c r="H19" s="116" t="n"/>
      <c r="I19" s="116" t="n"/>
      <c r="J19" s="116" t="n"/>
      <c r="K19" s="116" t="n"/>
      <c r="L19" s="116" t="n"/>
      <c r="M19" s="116" t="n"/>
      <c r="N19" s="116" t="n"/>
      <c r="O19" s="116" t="n"/>
      <c r="P19" s="116" t="n"/>
      <c r="Q19" s="116" t="n"/>
      <c r="R19" s="116" t="n"/>
      <c r="S19" s="116" t="n"/>
      <c r="T19" s="116" t="n"/>
      <c r="U19" s="116" t="n"/>
      <c r="V19" s="116" t="n"/>
      <c r="W19" s="116" t="n"/>
      <c r="X19" s="116" t="n"/>
      <c r="Y19" s="116" t="n"/>
      <c r="Z19" s="116" t="n"/>
      <c r="AA19" s="116" t="n"/>
      <c r="AB19" s="116" t="n"/>
      <c r="AC19" s="116" t="n"/>
      <c r="AD19" s="116" t="n"/>
      <c r="AE19" s="116" t="n"/>
      <c r="AF19" s="116" t="n"/>
      <c r="AG19" s="116" t="n"/>
      <c r="AH19" s="116" t="n"/>
      <c r="AI19" s="116" t="n"/>
      <c r="AJ19" s="116" t="n"/>
      <c r="AK19" s="116" t="n"/>
      <c r="AL19" s="116" t="n"/>
      <c r="AM19" s="116" t="n"/>
      <c r="AN19" s="116" t="n"/>
      <c r="AO19" s="116" t="n"/>
      <c r="AP19" s="116" t="n"/>
      <c r="AQ19" s="116" t="n"/>
      <c r="AR19" s="116" t="n"/>
      <c r="AS19" s="116" t="n"/>
      <c r="AT19" s="116" t="n"/>
      <c r="AU19" s="116" t="n"/>
      <c r="AV19" s="116" t="n"/>
      <c r="AX19" s="117">
        <f>WBS!G19</f>
        <v/>
      </c>
      <c r="AY19" s="117">
        <f>WBS!H19</f>
        <v/>
      </c>
      <c r="AZ19" s="115">
        <f>WBS!F19</f>
        <v/>
      </c>
    </row>
    <row r="20" ht="18" customHeight="1">
      <c r="A20" s="113" t="inlineStr">
        <is>
          <t>2.7</t>
        </is>
      </c>
      <c r="B20" s="114">
        <f>WBS!C20</f>
        <v/>
      </c>
      <c r="C20" s="115">
        <f>WBS!D20</f>
        <v/>
      </c>
      <c r="D20" s="116" t="n"/>
      <c r="E20" s="116" t="n"/>
      <c r="F20" s="116" t="n"/>
      <c r="G20" s="116" t="n"/>
      <c r="H20" s="116" t="n"/>
      <c r="I20" s="116" t="n"/>
      <c r="J20" s="116" t="n"/>
      <c r="K20" s="116" t="n"/>
      <c r="L20" s="116" t="n"/>
      <c r="M20" s="116" t="n"/>
      <c r="N20" s="116" t="n"/>
      <c r="O20" s="116" t="n"/>
      <c r="P20" s="116" t="n"/>
      <c r="Q20" s="116" t="n"/>
      <c r="R20" s="116" t="n"/>
      <c r="S20" s="116" t="n"/>
      <c r="T20" s="116" t="n"/>
      <c r="U20" s="116" t="n"/>
      <c r="V20" s="116" t="n"/>
      <c r="W20" s="116" t="n"/>
      <c r="X20" s="116" t="n"/>
      <c r="Y20" s="116" t="n"/>
      <c r="Z20" s="116" t="n"/>
      <c r="AA20" s="116" t="n"/>
      <c r="AB20" s="116" t="n"/>
      <c r="AC20" s="116" t="n"/>
      <c r="AD20" s="116" t="n"/>
      <c r="AE20" s="116" t="n"/>
      <c r="AF20" s="116" t="n"/>
      <c r="AG20" s="116" t="n"/>
      <c r="AH20" s="116" t="n"/>
      <c r="AI20" s="116" t="n"/>
      <c r="AJ20" s="116" t="n"/>
      <c r="AK20" s="116" t="n"/>
      <c r="AL20" s="116" t="n"/>
      <c r="AM20" s="116" t="n"/>
      <c r="AN20" s="116" t="n"/>
      <c r="AO20" s="116" t="n"/>
      <c r="AP20" s="116" t="n"/>
      <c r="AQ20" s="116" t="n"/>
      <c r="AR20" s="116" t="n"/>
      <c r="AS20" s="116" t="n"/>
      <c r="AT20" s="116" t="n"/>
      <c r="AU20" s="116" t="n"/>
      <c r="AV20" s="116" t="n"/>
      <c r="AX20" s="117">
        <f>WBS!G20</f>
        <v/>
      </c>
      <c r="AY20" s="117">
        <f>WBS!H20</f>
        <v/>
      </c>
      <c r="AZ20" s="115">
        <f>WBS!F20</f>
        <v/>
      </c>
    </row>
    <row r="21" ht="18" customHeight="1">
      <c r="A21" s="113" t="inlineStr">
        <is>
          <t>2.8</t>
        </is>
      </c>
      <c r="B21" s="114">
        <f>WBS!C21</f>
        <v/>
      </c>
      <c r="C21" s="115">
        <f>WBS!D21</f>
        <v/>
      </c>
      <c r="D21" s="116" t="n"/>
      <c r="E21" s="116" t="n"/>
      <c r="F21" s="116" t="n"/>
      <c r="G21" s="116" t="n"/>
      <c r="H21" s="116" t="n"/>
      <c r="I21" s="116" t="n"/>
      <c r="J21" s="116" t="n"/>
      <c r="K21" s="116" t="n"/>
      <c r="L21" s="116" t="n"/>
      <c r="M21" s="116" t="n"/>
      <c r="N21" s="116" t="n"/>
      <c r="O21" s="116" t="n"/>
      <c r="P21" s="116" t="n"/>
      <c r="Q21" s="116" t="n"/>
      <c r="R21" s="116" t="n"/>
      <c r="S21" s="116" t="n"/>
      <c r="T21" s="116" t="n"/>
      <c r="U21" s="116" t="n"/>
      <c r="V21" s="116" t="n"/>
      <c r="W21" s="116" t="n"/>
      <c r="X21" s="116" t="n"/>
      <c r="Y21" s="116" t="n"/>
      <c r="Z21" s="116" t="n"/>
      <c r="AA21" s="116" t="n"/>
      <c r="AB21" s="116" t="n"/>
      <c r="AC21" s="116" t="n"/>
      <c r="AD21" s="116" t="n"/>
      <c r="AE21" s="116" t="n"/>
      <c r="AF21" s="116" t="n"/>
      <c r="AG21" s="116" t="n"/>
      <c r="AH21" s="116" t="n"/>
      <c r="AI21" s="116" t="n"/>
      <c r="AJ21" s="116" t="n"/>
      <c r="AK21" s="116" t="n"/>
      <c r="AL21" s="116" t="n"/>
      <c r="AM21" s="116" t="n"/>
      <c r="AN21" s="116" t="n"/>
      <c r="AO21" s="116" t="n"/>
      <c r="AP21" s="116" t="n"/>
      <c r="AQ21" s="116" t="n"/>
      <c r="AR21" s="116" t="n"/>
      <c r="AS21" s="116" t="n"/>
      <c r="AT21" s="116" t="n"/>
      <c r="AU21" s="116" t="n"/>
      <c r="AV21" s="116" t="n"/>
      <c r="AX21" s="117">
        <f>WBS!G21</f>
        <v/>
      </c>
      <c r="AY21" s="117">
        <f>WBS!H21</f>
        <v/>
      </c>
      <c r="AZ21" s="115">
        <f>WBS!F21</f>
        <v/>
      </c>
    </row>
    <row r="22" ht="18" customHeight="1">
      <c r="A22" s="115" t="inlineStr">
        <is>
          <t>2.9</t>
        </is>
      </c>
      <c r="B22" s="114">
        <f>WBS!C22</f>
        <v/>
      </c>
      <c r="C22" s="115">
        <f>WBS!D22</f>
        <v/>
      </c>
      <c r="D22" s="116" t="n"/>
      <c r="E22" s="116" t="n"/>
      <c r="F22" s="116" t="n"/>
      <c r="G22" s="116" t="n"/>
      <c r="H22" s="116" t="n"/>
      <c r="I22" s="116" t="n"/>
      <c r="J22" s="116" t="n"/>
      <c r="K22" s="116" t="n"/>
      <c r="L22" s="116" t="n"/>
      <c r="M22" s="116" t="n"/>
      <c r="N22" s="116" t="n"/>
      <c r="O22" s="116" t="n"/>
      <c r="P22" s="116" t="n"/>
      <c r="Q22" s="116" t="n"/>
      <c r="R22" s="116" t="n"/>
      <c r="S22" s="116" t="n"/>
      <c r="T22" s="116" t="n"/>
      <c r="U22" s="116" t="n"/>
      <c r="V22" s="116" t="n"/>
      <c r="W22" s="116" t="n"/>
      <c r="X22" s="116" t="n"/>
      <c r="Y22" s="116" t="n"/>
      <c r="Z22" s="116" t="n"/>
      <c r="AA22" s="116" t="n"/>
      <c r="AB22" s="116" t="n"/>
      <c r="AC22" s="116" t="n"/>
      <c r="AD22" s="116" t="n"/>
      <c r="AE22" s="116" t="n"/>
      <c r="AF22" s="116" t="n"/>
      <c r="AG22" s="116" t="n"/>
      <c r="AH22" s="116" t="n"/>
      <c r="AI22" s="116" t="n"/>
      <c r="AJ22" s="116" t="n"/>
      <c r="AK22" s="116" t="n"/>
      <c r="AL22" s="116" t="n"/>
      <c r="AM22" s="116" t="n"/>
      <c r="AN22" s="116" t="n"/>
      <c r="AO22" s="116" t="n"/>
      <c r="AP22" s="116" t="n"/>
      <c r="AQ22" s="116" t="n"/>
      <c r="AR22" s="116" t="n"/>
      <c r="AS22" s="116" t="n"/>
      <c r="AT22" s="116" t="n"/>
      <c r="AU22" s="116" t="n"/>
      <c r="AV22" s="116" t="n"/>
      <c r="AX22" s="117">
        <f>WBS!G22</f>
        <v/>
      </c>
      <c r="AY22" s="117">
        <f>WBS!H22</f>
        <v/>
      </c>
      <c r="AZ22" s="115">
        <f>WBS!F22</f>
        <v/>
      </c>
    </row>
    <row r="23" ht="18" customHeight="1">
      <c r="A23" s="118" t="inlineStr">
        <is>
          <t>3.0</t>
        </is>
      </c>
      <c r="B23" s="119">
        <f>WBS!C23</f>
        <v/>
      </c>
      <c r="C23" s="118">
        <f>WBS!D23</f>
        <v/>
      </c>
      <c r="D23" s="120" t="n"/>
      <c r="E23" s="120" t="n"/>
      <c r="F23" s="120" t="n"/>
      <c r="G23" s="120" t="n"/>
      <c r="H23" s="120" t="n"/>
      <c r="I23" s="120" t="n"/>
      <c r="J23" s="120" t="n"/>
      <c r="K23" s="120" t="n"/>
      <c r="L23" s="120" t="n"/>
      <c r="M23" s="120" t="n"/>
      <c r="N23" s="120" t="n"/>
      <c r="O23" s="120" t="n"/>
      <c r="P23" s="120" t="n"/>
      <c r="Q23" s="120" t="n"/>
      <c r="R23" s="120" t="n"/>
      <c r="S23" s="120" t="n"/>
      <c r="T23" s="120" t="n"/>
      <c r="U23" s="120" t="n"/>
      <c r="V23" s="120" t="n"/>
      <c r="W23" s="120" t="n"/>
      <c r="X23" s="120" t="n"/>
      <c r="Y23" s="120" t="n"/>
      <c r="Z23" s="120" t="n"/>
      <c r="AA23" s="120" t="n"/>
      <c r="AB23" s="120" t="n"/>
      <c r="AC23" s="120" t="n"/>
      <c r="AD23" s="120" t="n"/>
      <c r="AE23" s="120" t="n"/>
      <c r="AF23" s="120" t="n"/>
      <c r="AG23" s="120" t="n"/>
      <c r="AH23" s="120" t="n"/>
      <c r="AI23" s="120" t="n"/>
      <c r="AJ23" s="120" t="n"/>
      <c r="AK23" s="120" t="n"/>
      <c r="AL23" s="120" t="n"/>
      <c r="AM23" s="120" t="n"/>
      <c r="AN23" s="120" t="n"/>
      <c r="AO23" s="120" t="n"/>
      <c r="AP23" s="120" t="n"/>
      <c r="AQ23" s="120" t="n"/>
      <c r="AR23" s="120" t="n"/>
      <c r="AS23" s="120" t="n"/>
      <c r="AT23" s="120" t="n"/>
      <c r="AU23" s="120" t="n"/>
      <c r="AV23" s="120" t="n"/>
      <c r="AX23" s="121">
        <f>WBS!G23</f>
        <v/>
      </c>
      <c r="AY23" s="121">
        <f>WBS!H23</f>
        <v/>
      </c>
      <c r="AZ23" s="118">
        <f>WBS!F23</f>
        <v/>
      </c>
    </row>
    <row r="24" ht="18" customHeight="1">
      <c r="A24" s="113" t="inlineStr">
        <is>
          <t>3.1</t>
        </is>
      </c>
      <c r="B24" s="114">
        <f>WBS!C24</f>
        <v/>
      </c>
      <c r="C24" s="115">
        <f>WBS!D24</f>
        <v/>
      </c>
      <c r="D24" s="116" t="n"/>
      <c r="E24" s="116" t="n"/>
      <c r="F24" s="116" t="n"/>
      <c r="G24" s="116" t="n"/>
      <c r="H24" s="116" t="n"/>
      <c r="I24" s="116" t="n"/>
      <c r="J24" s="116" t="n"/>
      <c r="K24" s="116" t="n"/>
      <c r="L24" s="116" t="n"/>
      <c r="M24" s="116" t="n"/>
      <c r="N24" s="116" t="n"/>
      <c r="O24" s="116" t="n"/>
      <c r="P24" s="116" t="n"/>
      <c r="Q24" s="116" t="n"/>
      <c r="R24" s="116" t="n"/>
      <c r="S24" s="116" t="n"/>
      <c r="T24" s="116" t="n"/>
      <c r="U24" s="116" t="n"/>
      <c r="V24" s="116" t="n"/>
      <c r="W24" s="116" t="n"/>
      <c r="X24" s="116" t="n"/>
      <c r="Y24" s="116" t="n"/>
      <c r="Z24" s="116" t="n"/>
      <c r="AA24" s="116" t="n"/>
      <c r="AB24" s="116" t="n"/>
      <c r="AC24" s="116" t="n"/>
      <c r="AD24" s="116" t="n"/>
      <c r="AE24" s="116" t="n"/>
      <c r="AF24" s="116" t="n"/>
      <c r="AG24" s="116" t="n"/>
      <c r="AH24" s="116" t="n"/>
      <c r="AI24" s="116" t="n"/>
      <c r="AJ24" s="116" t="n"/>
      <c r="AK24" s="116" t="n"/>
      <c r="AL24" s="116" t="n"/>
      <c r="AM24" s="116" t="n"/>
      <c r="AN24" s="116" t="n"/>
      <c r="AO24" s="116" t="n"/>
      <c r="AP24" s="116" t="n"/>
      <c r="AQ24" s="116" t="n"/>
      <c r="AR24" s="116" t="n"/>
      <c r="AS24" s="116" t="n"/>
      <c r="AT24" s="116" t="n"/>
      <c r="AU24" s="116" t="n"/>
      <c r="AV24" s="116" t="n"/>
      <c r="AX24" s="117">
        <f>WBS!G24</f>
        <v/>
      </c>
      <c r="AY24" s="117">
        <f>WBS!H24</f>
        <v/>
      </c>
      <c r="AZ24" s="115">
        <f>WBS!F24</f>
        <v/>
      </c>
    </row>
    <row r="25" ht="18" customHeight="1">
      <c r="A25" s="113" t="inlineStr">
        <is>
          <t>3.1.1</t>
        </is>
      </c>
      <c r="B25" s="122">
        <f>WBS!C25</f>
        <v/>
      </c>
      <c r="C25" s="123">
        <f>WBS!D25</f>
        <v/>
      </c>
      <c r="D25" s="116" t="n"/>
      <c r="E25" s="116" t="n"/>
      <c r="F25" s="116" t="n"/>
      <c r="G25" s="116" t="n"/>
      <c r="H25" s="116" t="n"/>
      <c r="I25" s="116" t="n"/>
      <c r="J25" s="116" t="n"/>
      <c r="K25" s="116" t="n"/>
      <c r="L25" s="116" t="n"/>
      <c r="M25" s="116" t="n"/>
      <c r="N25" s="116" t="n"/>
      <c r="O25" s="116" t="n"/>
      <c r="P25" s="116" t="n"/>
      <c r="Q25" s="116" t="n"/>
      <c r="R25" s="116" t="n"/>
      <c r="S25" s="116" t="n"/>
      <c r="T25" s="116" t="n"/>
      <c r="U25" s="116" t="n"/>
      <c r="V25" s="116" t="n"/>
      <c r="W25" s="116" t="n"/>
      <c r="X25" s="116" t="n"/>
      <c r="Y25" s="116" t="n"/>
      <c r="Z25" s="116" t="n"/>
      <c r="AA25" s="116" t="n"/>
      <c r="AB25" s="116" t="n"/>
      <c r="AC25" s="116" t="n"/>
      <c r="AD25" s="116" t="n"/>
      <c r="AE25" s="116" t="n"/>
      <c r="AF25" s="116" t="n"/>
      <c r="AG25" s="116" t="n"/>
      <c r="AH25" s="116" t="n"/>
      <c r="AI25" s="116" t="n"/>
      <c r="AJ25" s="116" t="n"/>
      <c r="AK25" s="116" t="n"/>
      <c r="AL25" s="116" t="n"/>
      <c r="AM25" s="116" t="n"/>
      <c r="AN25" s="116" t="n"/>
      <c r="AO25" s="116" t="n"/>
      <c r="AP25" s="116" t="n"/>
      <c r="AQ25" s="116" t="n"/>
      <c r="AR25" s="116" t="n"/>
      <c r="AS25" s="116" t="n"/>
      <c r="AT25" s="116" t="n"/>
      <c r="AU25" s="116" t="n"/>
      <c r="AV25" s="116" t="n"/>
      <c r="AX25" s="124">
        <f>WBS!G25</f>
        <v/>
      </c>
      <c r="AY25" s="124">
        <f>WBS!H25</f>
        <v/>
      </c>
      <c r="AZ25" s="123">
        <f>WBS!F25</f>
        <v/>
      </c>
    </row>
    <row r="26" ht="18" customHeight="1">
      <c r="A26" s="113" t="inlineStr">
        <is>
          <t>3.1.2</t>
        </is>
      </c>
      <c r="B26" s="122">
        <f>WBS!C26</f>
        <v/>
      </c>
      <c r="C26" s="123">
        <f>WBS!D26</f>
        <v/>
      </c>
      <c r="D26" s="116" t="n"/>
      <c r="E26" s="116" t="n"/>
      <c r="F26" s="116" t="n"/>
      <c r="G26" s="116" t="n"/>
      <c r="H26" s="116" t="n"/>
      <c r="I26" s="116" t="n"/>
      <c r="J26" s="116" t="n"/>
      <c r="K26" s="116" t="n"/>
      <c r="L26" s="116" t="n"/>
      <c r="M26" s="116" t="n"/>
      <c r="N26" s="116" t="n"/>
      <c r="O26" s="116" t="n"/>
      <c r="P26" s="116" t="n"/>
      <c r="Q26" s="116" t="n"/>
      <c r="R26" s="116" t="n"/>
      <c r="S26" s="116" t="n"/>
      <c r="T26" s="116" t="n"/>
      <c r="U26" s="116" t="n"/>
      <c r="V26" s="116" t="n"/>
      <c r="W26" s="116" t="n"/>
      <c r="X26" s="116" t="n"/>
      <c r="Y26" s="116" t="n"/>
      <c r="Z26" s="116" t="n"/>
      <c r="AA26" s="116" t="n"/>
      <c r="AB26" s="116" t="n"/>
      <c r="AC26" s="116" t="n"/>
      <c r="AD26" s="116" t="n"/>
      <c r="AE26" s="116" t="n"/>
      <c r="AF26" s="116" t="n"/>
      <c r="AG26" s="116" t="n"/>
      <c r="AH26" s="116" t="n"/>
      <c r="AI26" s="116" t="n"/>
      <c r="AJ26" s="116" t="n"/>
      <c r="AK26" s="116" t="n"/>
      <c r="AL26" s="116" t="n"/>
      <c r="AM26" s="116" t="n"/>
      <c r="AN26" s="116" t="n"/>
      <c r="AO26" s="116" t="n"/>
      <c r="AP26" s="116" t="n"/>
      <c r="AQ26" s="116" t="n"/>
      <c r="AR26" s="116" t="n"/>
      <c r="AS26" s="116" t="n"/>
      <c r="AT26" s="116" t="n"/>
      <c r="AU26" s="116" t="n"/>
      <c r="AV26" s="116" t="n"/>
      <c r="AX26" s="124">
        <f>WBS!G26</f>
        <v/>
      </c>
      <c r="AY26" s="124">
        <f>WBS!H26</f>
        <v/>
      </c>
      <c r="AZ26" s="123">
        <f>WBS!F26</f>
        <v/>
      </c>
    </row>
    <row r="27" ht="18" customHeight="1">
      <c r="A27" s="113" t="inlineStr">
        <is>
          <t>3.1.3</t>
        </is>
      </c>
      <c r="B27" s="122">
        <f>WBS!C27</f>
        <v/>
      </c>
      <c r="C27" s="123">
        <f>WBS!D27</f>
        <v/>
      </c>
      <c r="D27" s="116" t="n"/>
      <c r="E27" s="116" t="n"/>
      <c r="F27" s="116" t="n"/>
      <c r="G27" s="116" t="n"/>
      <c r="H27" s="116" t="n"/>
      <c r="I27" s="116" t="n"/>
      <c r="J27" s="116" t="n"/>
      <c r="K27" s="116" t="n"/>
      <c r="L27" s="116" t="n"/>
      <c r="M27" s="116" t="n"/>
      <c r="N27" s="116" t="n"/>
      <c r="O27" s="116" t="n"/>
      <c r="P27" s="116" t="n"/>
      <c r="Q27" s="116" t="n"/>
      <c r="R27" s="116" t="n"/>
      <c r="S27" s="116" t="n"/>
      <c r="T27" s="116" t="n"/>
      <c r="U27" s="116" t="n"/>
      <c r="V27" s="116" t="n"/>
      <c r="W27" s="116" t="n"/>
      <c r="X27" s="116" t="n"/>
      <c r="Y27" s="116" t="n"/>
      <c r="Z27" s="116" t="n"/>
      <c r="AA27" s="116" t="n"/>
      <c r="AB27" s="116" t="n"/>
      <c r="AC27" s="116" t="n"/>
      <c r="AD27" s="116" t="n"/>
      <c r="AE27" s="116" t="n"/>
      <c r="AF27" s="116" t="n"/>
      <c r="AG27" s="116" t="n"/>
      <c r="AH27" s="116" t="n"/>
      <c r="AI27" s="116" t="n"/>
      <c r="AJ27" s="116" t="n"/>
      <c r="AK27" s="116" t="n"/>
      <c r="AL27" s="116" t="n"/>
      <c r="AM27" s="116" t="n"/>
      <c r="AN27" s="116" t="n"/>
      <c r="AO27" s="116" t="n"/>
      <c r="AP27" s="116" t="n"/>
      <c r="AQ27" s="116" t="n"/>
      <c r="AR27" s="116" t="n"/>
      <c r="AS27" s="116" t="n"/>
      <c r="AT27" s="116" t="n"/>
      <c r="AU27" s="116" t="n"/>
      <c r="AV27" s="116" t="n"/>
      <c r="AX27" s="124">
        <f>WBS!G27</f>
        <v/>
      </c>
      <c r="AY27" s="124">
        <f>WBS!H27</f>
        <v/>
      </c>
      <c r="AZ27" s="123">
        <f>WBS!F27</f>
        <v/>
      </c>
    </row>
    <row r="28" ht="18" customHeight="1">
      <c r="A28" s="113" t="inlineStr">
        <is>
          <t>3.1.4</t>
        </is>
      </c>
      <c r="B28" s="122">
        <f>WBS!C28</f>
        <v/>
      </c>
      <c r="C28" s="123">
        <f>WBS!D28</f>
        <v/>
      </c>
      <c r="D28" s="116" t="n"/>
      <c r="E28" s="116" t="n"/>
      <c r="F28" s="116" t="n"/>
      <c r="G28" s="116" t="n"/>
      <c r="H28" s="116" t="n"/>
      <c r="I28" s="116" t="n"/>
      <c r="J28" s="116" t="n"/>
      <c r="K28" s="116" t="n"/>
      <c r="L28" s="116" t="n"/>
      <c r="M28" s="116" t="n"/>
      <c r="N28" s="116" t="n"/>
      <c r="O28" s="116" t="n"/>
      <c r="P28" s="116" t="n"/>
      <c r="Q28" s="116" t="n"/>
      <c r="R28" s="116" t="n"/>
      <c r="S28" s="116" t="n"/>
      <c r="T28" s="116" t="n"/>
      <c r="U28" s="116" t="n"/>
      <c r="V28" s="116" t="n"/>
      <c r="W28" s="116" t="n"/>
      <c r="X28" s="116" t="n"/>
      <c r="Y28" s="116" t="n"/>
      <c r="Z28" s="116" t="n"/>
      <c r="AA28" s="116" t="n"/>
      <c r="AB28" s="116" t="n"/>
      <c r="AC28" s="116" t="n"/>
      <c r="AD28" s="116" t="n"/>
      <c r="AE28" s="116" t="n"/>
      <c r="AF28" s="116" t="n"/>
      <c r="AG28" s="116" t="n"/>
      <c r="AH28" s="116" t="n"/>
      <c r="AI28" s="116" t="n"/>
      <c r="AJ28" s="116" t="n"/>
      <c r="AK28" s="116" t="n"/>
      <c r="AL28" s="116" t="n"/>
      <c r="AM28" s="116" t="n"/>
      <c r="AN28" s="116" t="n"/>
      <c r="AO28" s="116" t="n"/>
      <c r="AP28" s="116" t="n"/>
      <c r="AQ28" s="116" t="n"/>
      <c r="AR28" s="116" t="n"/>
      <c r="AS28" s="116" t="n"/>
      <c r="AT28" s="116" t="n"/>
      <c r="AU28" s="116" t="n"/>
      <c r="AV28" s="116" t="n"/>
      <c r="AX28" s="124">
        <f>WBS!G28</f>
        <v/>
      </c>
      <c r="AY28" s="124">
        <f>WBS!H28</f>
        <v/>
      </c>
      <c r="AZ28" s="123">
        <f>WBS!F28</f>
        <v/>
      </c>
    </row>
    <row r="29" ht="18" customHeight="1">
      <c r="A29" s="123" t="inlineStr">
        <is>
          <t>3.1.5</t>
        </is>
      </c>
      <c r="B29" s="122">
        <f>WBS!C29</f>
        <v/>
      </c>
      <c r="C29" s="123">
        <f>WBS!D29</f>
        <v/>
      </c>
      <c r="D29" s="116" t="n"/>
      <c r="E29" s="116" t="n"/>
      <c r="F29" s="116" t="n"/>
      <c r="G29" s="116" t="n"/>
      <c r="H29" s="116" t="n"/>
      <c r="I29" s="116" t="n"/>
      <c r="J29" s="116" t="n"/>
      <c r="K29" s="116" t="n"/>
      <c r="L29" s="116" t="n"/>
      <c r="M29" s="116" t="n"/>
      <c r="N29" s="116" t="n"/>
      <c r="O29" s="116" t="n"/>
      <c r="P29" s="116" t="n"/>
      <c r="Q29" s="116" t="n"/>
      <c r="R29" s="116" t="n"/>
      <c r="S29" s="116" t="n"/>
      <c r="T29" s="116" t="n"/>
      <c r="U29" s="116" t="n"/>
      <c r="V29" s="116" t="n"/>
      <c r="W29" s="116" t="n"/>
      <c r="X29" s="116" t="n"/>
      <c r="Y29" s="116" t="n"/>
      <c r="Z29" s="116" t="n"/>
      <c r="AA29" s="116" t="n"/>
      <c r="AB29" s="116" t="n"/>
      <c r="AC29" s="116" t="n"/>
      <c r="AD29" s="116" t="n"/>
      <c r="AE29" s="116" t="n"/>
      <c r="AF29" s="116" t="n"/>
      <c r="AG29" s="116" t="n"/>
      <c r="AH29" s="116" t="n"/>
      <c r="AI29" s="116" t="n"/>
      <c r="AJ29" s="116" t="n"/>
      <c r="AK29" s="116" t="n"/>
      <c r="AL29" s="116" t="n"/>
      <c r="AM29" s="116" t="n"/>
      <c r="AN29" s="116" t="n"/>
      <c r="AO29" s="116" t="n"/>
      <c r="AP29" s="116" t="n"/>
      <c r="AQ29" s="116" t="n"/>
      <c r="AR29" s="116" t="n"/>
      <c r="AS29" s="116" t="n"/>
      <c r="AT29" s="116" t="n"/>
      <c r="AU29" s="116" t="n"/>
      <c r="AV29" s="116" t="n"/>
      <c r="AX29" s="124">
        <f>WBS!G29</f>
        <v/>
      </c>
      <c r="AY29" s="124">
        <f>WBS!H29</f>
        <v/>
      </c>
      <c r="AZ29" s="123">
        <f>WBS!F29</f>
        <v/>
      </c>
    </row>
    <row r="30" ht="18" customHeight="1">
      <c r="A30" s="113" t="inlineStr">
        <is>
          <t>3.2</t>
        </is>
      </c>
      <c r="B30" s="114">
        <f>WBS!C30</f>
        <v/>
      </c>
      <c r="C30" s="115">
        <f>WBS!D30</f>
        <v/>
      </c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  <c r="S30" s="116" t="n"/>
      <c r="T30" s="116" t="n"/>
      <c r="U30" s="116" t="n"/>
      <c r="V30" s="116" t="n"/>
      <c r="W30" s="116" t="n"/>
      <c r="X30" s="116" t="n"/>
      <c r="Y30" s="116" t="n"/>
      <c r="Z30" s="116" t="n"/>
      <c r="AA30" s="116" t="n"/>
      <c r="AB30" s="116" t="n"/>
      <c r="AC30" s="116" t="n"/>
      <c r="AD30" s="116" t="n"/>
      <c r="AE30" s="116" t="n"/>
      <c r="AF30" s="116" t="n"/>
      <c r="AG30" s="116" t="n"/>
      <c r="AH30" s="116" t="n"/>
      <c r="AI30" s="116" t="n"/>
      <c r="AJ30" s="116" t="n"/>
      <c r="AK30" s="116" t="n"/>
      <c r="AL30" s="116" t="n"/>
      <c r="AM30" s="116" t="n"/>
      <c r="AN30" s="116" t="n"/>
      <c r="AO30" s="116" t="n"/>
      <c r="AP30" s="116" t="n"/>
      <c r="AQ30" s="116" t="n"/>
      <c r="AR30" s="116" t="n"/>
      <c r="AS30" s="116" t="n"/>
      <c r="AT30" s="116" t="n"/>
      <c r="AU30" s="116" t="n"/>
      <c r="AV30" s="116" t="n"/>
      <c r="AX30" s="117">
        <f>WBS!G30</f>
        <v/>
      </c>
      <c r="AY30" s="117">
        <f>WBS!H30</f>
        <v/>
      </c>
      <c r="AZ30" s="115">
        <f>WBS!F30</f>
        <v/>
      </c>
    </row>
    <row r="31" ht="18" customHeight="1">
      <c r="A31" s="113" t="inlineStr">
        <is>
          <t>3.2.1</t>
        </is>
      </c>
      <c r="B31" s="122">
        <f>WBS!C31</f>
        <v/>
      </c>
      <c r="C31" s="123">
        <f>WBS!D31</f>
        <v/>
      </c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  <c r="S31" s="116" t="n"/>
      <c r="T31" s="116" t="n"/>
      <c r="U31" s="116" t="n"/>
      <c r="V31" s="116" t="n"/>
      <c r="W31" s="116" t="n"/>
      <c r="X31" s="116" t="n"/>
      <c r="Y31" s="116" t="n"/>
      <c r="Z31" s="116" t="n"/>
      <c r="AA31" s="116" t="n"/>
      <c r="AB31" s="116" t="n"/>
      <c r="AC31" s="116" t="n"/>
      <c r="AD31" s="116" t="n"/>
      <c r="AE31" s="116" t="n"/>
      <c r="AF31" s="116" t="n"/>
      <c r="AG31" s="116" t="n"/>
      <c r="AH31" s="116" t="n"/>
      <c r="AI31" s="116" t="n"/>
      <c r="AJ31" s="116" t="n"/>
      <c r="AK31" s="116" t="n"/>
      <c r="AL31" s="116" t="n"/>
      <c r="AM31" s="116" t="n"/>
      <c r="AN31" s="116" t="n"/>
      <c r="AO31" s="116" t="n"/>
      <c r="AP31" s="116" t="n"/>
      <c r="AQ31" s="116" t="n"/>
      <c r="AR31" s="116" t="n"/>
      <c r="AS31" s="116" t="n"/>
      <c r="AT31" s="116" t="n"/>
      <c r="AU31" s="116" t="n"/>
      <c r="AV31" s="116" t="n"/>
      <c r="AX31" s="124">
        <f>WBS!G31</f>
        <v/>
      </c>
      <c r="AY31" s="124">
        <f>WBS!H31</f>
        <v/>
      </c>
      <c r="AZ31" s="123">
        <f>WBS!F31</f>
        <v/>
      </c>
    </row>
    <row r="32" ht="18" customHeight="1">
      <c r="A32" s="113" t="inlineStr">
        <is>
          <t>3.2.2</t>
        </is>
      </c>
      <c r="B32" s="122">
        <f>WBS!C32</f>
        <v/>
      </c>
      <c r="C32" s="123">
        <f>WBS!D32</f>
        <v/>
      </c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  <c r="N32" s="116" t="n"/>
      <c r="O32" s="116" t="n"/>
      <c r="P32" s="116" t="n"/>
      <c r="Q32" s="116" t="n"/>
      <c r="R32" s="116" t="n"/>
      <c r="S32" s="116" t="n"/>
      <c r="T32" s="116" t="n"/>
      <c r="U32" s="116" t="n"/>
      <c r="V32" s="116" t="n"/>
      <c r="W32" s="116" t="n"/>
      <c r="X32" s="116" t="n"/>
      <c r="Y32" s="116" t="n"/>
      <c r="Z32" s="116" t="n"/>
      <c r="AA32" s="116" t="n"/>
      <c r="AB32" s="116" t="n"/>
      <c r="AC32" s="116" t="n"/>
      <c r="AD32" s="116" t="n"/>
      <c r="AE32" s="116" t="n"/>
      <c r="AF32" s="116" t="n"/>
      <c r="AG32" s="116" t="n"/>
      <c r="AH32" s="116" t="n"/>
      <c r="AI32" s="116" t="n"/>
      <c r="AJ32" s="116" t="n"/>
      <c r="AK32" s="116" t="n"/>
      <c r="AL32" s="116" t="n"/>
      <c r="AM32" s="116" t="n"/>
      <c r="AN32" s="116" t="n"/>
      <c r="AO32" s="116" t="n"/>
      <c r="AP32" s="116" t="n"/>
      <c r="AQ32" s="116" t="n"/>
      <c r="AR32" s="116" t="n"/>
      <c r="AS32" s="116" t="n"/>
      <c r="AT32" s="116" t="n"/>
      <c r="AU32" s="116" t="n"/>
      <c r="AV32" s="116" t="n"/>
      <c r="AX32" s="124">
        <f>WBS!G32</f>
        <v/>
      </c>
      <c r="AY32" s="124">
        <f>WBS!H32</f>
        <v/>
      </c>
      <c r="AZ32" s="123">
        <f>WBS!F32</f>
        <v/>
      </c>
    </row>
    <row r="33" ht="18" customHeight="1">
      <c r="A33" s="123" t="inlineStr">
        <is>
          <t>3.2.3</t>
        </is>
      </c>
      <c r="B33" s="122">
        <f>WBS!C33</f>
        <v/>
      </c>
      <c r="C33" s="123">
        <f>WBS!D33</f>
        <v/>
      </c>
      <c r="D33" s="116" t="n"/>
      <c r="E33" s="116" t="n"/>
      <c r="F33" s="116" t="n"/>
      <c r="G33" s="116" t="n"/>
      <c r="H33" s="116" t="n"/>
      <c r="I33" s="116" t="n"/>
      <c r="J33" s="116" t="n"/>
      <c r="K33" s="116" t="n"/>
      <c r="L33" s="116" t="n"/>
      <c r="M33" s="116" t="n"/>
      <c r="N33" s="116" t="n"/>
      <c r="O33" s="116" t="n"/>
      <c r="P33" s="116" t="n"/>
      <c r="Q33" s="116" t="n"/>
      <c r="R33" s="116" t="n"/>
      <c r="S33" s="116" t="n"/>
      <c r="T33" s="116" t="n"/>
      <c r="U33" s="116" t="n"/>
      <c r="V33" s="116" t="n"/>
      <c r="W33" s="116" t="n"/>
      <c r="X33" s="116" t="n"/>
      <c r="Y33" s="116" t="n"/>
      <c r="Z33" s="116" t="n"/>
      <c r="AA33" s="116" t="n"/>
      <c r="AB33" s="116" t="n"/>
      <c r="AC33" s="116" t="n"/>
      <c r="AD33" s="116" t="n"/>
      <c r="AE33" s="116" t="n"/>
      <c r="AF33" s="116" t="n"/>
      <c r="AG33" s="116" t="n"/>
      <c r="AH33" s="116" t="n"/>
      <c r="AI33" s="116" t="n"/>
      <c r="AJ33" s="116" t="n"/>
      <c r="AK33" s="116" t="n"/>
      <c r="AL33" s="116" t="n"/>
      <c r="AM33" s="116" t="n"/>
      <c r="AN33" s="116" t="n"/>
      <c r="AO33" s="116" t="n"/>
      <c r="AP33" s="116" t="n"/>
      <c r="AQ33" s="116" t="n"/>
      <c r="AR33" s="116" t="n"/>
      <c r="AS33" s="116" t="n"/>
      <c r="AT33" s="116" t="n"/>
      <c r="AU33" s="116" t="n"/>
      <c r="AV33" s="116" t="n"/>
      <c r="AX33" s="124">
        <f>WBS!G33</f>
        <v/>
      </c>
      <c r="AY33" s="124">
        <f>WBS!H33</f>
        <v/>
      </c>
      <c r="AZ33" s="123">
        <f>WBS!F33</f>
        <v/>
      </c>
    </row>
    <row r="34" ht="18" customHeight="1">
      <c r="A34" s="113" t="inlineStr">
        <is>
          <t>3.3</t>
        </is>
      </c>
      <c r="B34" s="114">
        <f>WBS!C34</f>
        <v/>
      </c>
      <c r="C34" s="115">
        <f>WBS!D34</f>
        <v/>
      </c>
      <c r="D34" s="116" t="n"/>
      <c r="E34" s="116" t="n"/>
      <c r="F34" s="116" t="n"/>
      <c r="G34" s="116" t="n"/>
      <c r="H34" s="116" t="n"/>
      <c r="I34" s="116" t="n"/>
      <c r="J34" s="116" t="n"/>
      <c r="K34" s="116" t="n"/>
      <c r="L34" s="116" t="n"/>
      <c r="M34" s="116" t="n"/>
      <c r="N34" s="116" t="n"/>
      <c r="O34" s="116" t="n"/>
      <c r="P34" s="116" t="n"/>
      <c r="Q34" s="116" t="n"/>
      <c r="R34" s="116" t="n"/>
      <c r="S34" s="116" t="n"/>
      <c r="T34" s="116" t="n"/>
      <c r="U34" s="116" t="n"/>
      <c r="V34" s="116" t="n"/>
      <c r="W34" s="116" t="n"/>
      <c r="X34" s="116" t="n"/>
      <c r="Y34" s="116" t="n"/>
      <c r="Z34" s="116" t="n"/>
      <c r="AA34" s="116" t="n"/>
      <c r="AB34" s="116" t="n"/>
      <c r="AC34" s="116" t="n"/>
      <c r="AD34" s="116" t="n"/>
      <c r="AE34" s="116" t="n"/>
      <c r="AF34" s="116" t="n"/>
      <c r="AG34" s="116" t="n"/>
      <c r="AH34" s="116" t="n"/>
      <c r="AI34" s="116" t="n"/>
      <c r="AJ34" s="116" t="n"/>
      <c r="AK34" s="116" t="n"/>
      <c r="AL34" s="116" t="n"/>
      <c r="AM34" s="116" t="n"/>
      <c r="AN34" s="116" t="n"/>
      <c r="AO34" s="116" t="n"/>
      <c r="AP34" s="116" t="n"/>
      <c r="AQ34" s="116" t="n"/>
      <c r="AR34" s="116" t="n"/>
      <c r="AS34" s="116" t="n"/>
      <c r="AT34" s="116" t="n"/>
      <c r="AU34" s="116" t="n"/>
      <c r="AV34" s="116" t="n"/>
      <c r="AX34" s="117">
        <f>WBS!G34</f>
        <v/>
      </c>
      <c r="AY34" s="117">
        <f>WBS!H34</f>
        <v/>
      </c>
      <c r="AZ34" s="115">
        <f>WBS!F34</f>
        <v/>
      </c>
    </row>
    <row r="35" ht="18" customHeight="1">
      <c r="A35" s="113" t="inlineStr">
        <is>
          <t>3.3.1</t>
        </is>
      </c>
      <c r="B35" s="122">
        <f>WBS!C35</f>
        <v/>
      </c>
      <c r="C35" s="123">
        <f>WBS!D35</f>
        <v/>
      </c>
      <c r="D35" s="116" t="n"/>
      <c r="E35" s="116" t="n"/>
      <c r="F35" s="116" t="n"/>
      <c r="G35" s="116" t="n"/>
      <c r="H35" s="116" t="n"/>
      <c r="I35" s="116" t="n"/>
      <c r="J35" s="116" t="n"/>
      <c r="K35" s="116" t="n"/>
      <c r="L35" s="116" t="n"/>
      <c r="M35" s="116" t="n"/>
      <c r="N35" s="116" t="n"/>
      <c r="O35" s="116" t="n"/>
      <c r="P35" s="116" t="n"/>
      <c r="Q35" s="116" t="n"/>
      <c r="R35" s="116" t="n"/>
      <c r="S35" s="116" t="n"/>
      <c r="T35" s="116" t="n"/>
      <c r="U35" s="116" t="n"/>
      <c r="V35" s="116" t="n"/>
      <c r="W35" s="116" t="n"/>
      <c r="X35" s="116" t="n"/>
      <c r="Y35" s="116" t="n"/>
      <c r="Z35" s="116" t="n"/>
      <c r="AA35" s="116" t="n"/>
      <c r="AB35" s="116" t="n"/>
      <c r="AC35" s="116" t="n"/>
      <c r="AD35" s="116" t="n"/>
      <c r="AE35" s="116" t="n"/>
      <c r="AF35" s="116" t="n"/>
      <c r="AG35" s="116" t="n"/>
      <c r="AH35" s="116" t="n"/>
      <c r="AI35" s="116" t="n"/>
      <c r="AJ35" s="116" t="n"/>
      <c r="AK35" s="116" t="n"/>
      <c r="AL35" s="116" t="n"/>
      <c r="AM35" s="116" t="n"/>
      <c r="AN35" s="116" t="n"/>
      <c r="AO35" s="116" t="n"/>
      <c r="AP35" s="116" t="n"/>
      <c r="AQ35" s="116" t="n"/>
      <c r="AR35" s="116" t="n"/>
      <c r="AS35" s="116" t="n"/>
      <c r="AT35" s="116" t="n"/>
      <c r="AU35" s="116" t="n"/>
      <c r="AV35" s="116" t="n"/>
      <c r="AX35" s="124">
        <f>WBS!G35</f>
        <v/>
      </c>
      <c r="AY35" s="124">
        <f>WBS!H35</f>
        <v/>
      </c>
      <c r="AZ35" s="123">
        <f>WBS!F35</f>
        <v/>
      </c>
    </row>
    <row r="36" ht="18" customHeight="1">
      <c r="A36" s="113" t="inlineStr">
        <is>
          <t>3.3.2</t>
        </is>
      </c>
      <c r="B36" s="122">
        <f>WBS!C36</f>
        <v/>
      </c>
      <c r="C36" s="123">
        <f>WBS!D36</f>
        <v/>
      </c>
      <c r="D36" s="116" t="n"/>
      <c r="E36" s="116" t="n"/>
      <c r="F36" s="116" t="n"/>
      <c r="G36" s="116" t="n"/>
      <c r="H36" s="116" t="n"/>
      <c r="I36" s="116" t="n"/>
      <c r="J36" s="116" t="n"/>
      <c r="K36" s="116" t="n"/>
      <c r="L36" s="116" t="n"/>
      <c r="M36" s="116" t="n"/>
      <c r="N36" s="116" t="n"/>
      <c r="O36" s="116" t="n"/>
      <c r="P36" s="116" t="n"/>
      <c r="Q36" s="116" t="n"/>
      <c r="R36" s="116" t="n"/>
      <c r="S36" s="116" t="n"/>
      <c r="T36" s="116" t="n"/>
      <c r="U36" s="116" t="n"/>
      <c r="V36" s="116" t="n"/>
      <c r="W36" s="116" t="n"/>
      <c r="X36" s="116" t="n"/>
      <c r="Y36" s="116" t="n"/>
      <c r="Z36" s="116" t="n"/>
      <c r="AA36" s="116" t="n"/>
      <c r="AB36" s="116" t="n"/>
      <c r="AC36" s="116" t="n"/>
      <c r="AD36" s="116" t="n"/>
      <c r="AE36" s="116" t="n"/>
      <c r="AF36" s="116" t="n"/>
      <c r="AG36" s="116" t="n"/>
      <c r="AH36" s="116" t="n"/>
      <c r="AI36" s="116" t="n"/>
      <c r="AJ36" s="116" t="n"/>
      <c r="AK36" s="116" t="n"/>
      <c r="AL36" s="116" t="n"/>
      <c r="AM36" s="116" t="n"/>
      <c r="AN36" s="116" t="n"/>
      <c r="AO36" s="116" t="n"/>
      <c r="AP36" s="116" t="n"/>
      <c r="AQ36" s="116" t="n"/>
      <c r="AR36" s="116" t="n"/>
      <c r="AS36" s="116" t="n"/>
      <c r="AT36" s="116" t="n"/>
      <c r="AU36" s="116" t="n"/>
      <c r="AV36" s="116" t="n"/>
      <c r="AX36" s="124">
        <f>WBS!G36</f>
        <v/>
      </c>
      <c r="AY36" s="124">
        <f>WBS!H36</f>
        <v/>
      </c>
      <c r="AZ36" s="123">
        <f>WBS!F36</f>
        <v/>
      </c>
    </row>
    <row r="37" ht="18" customHeight="1">
      <c r="A37" s="123" t="inlineStr">
        <is>
          <t>3.3.3</t>
        </is>
      </c>
      <c r="B37" s="122">
        <f>WBS!C37</f>
        <v/>
      </c>
      <c r="C37" s="123">
        <f>WBS!D37</f>
        <v/>
      </c>
      <c r="D37" s="116" t="n"/>
      <c r="E37" s="116" t="n"/>
      <c r="F37" s="116" t="n"/>
      <c r="G37" s="116" t="n"/>
      <c r="H37" s="116" t="n"/>
      <c r="I37" s="116" t="n"/>
      <c r="J37" s="116" t="n"/>
      <c r="K37" s="116" t="n"/>
      <c r="L37" s="116" t="n"/>
      <c r="M37" s="116" t="n"/>
      <c r="N37" s="116" t="n"/>
      <c r="O37" s="116" t="n"/>
      <c r="P37" s="116" t="n"/>
      <c r="Q37" s="116" t="n"/>
      <c r="R37" s="116" t="n"/>
      <c r="S37" s="116" t="n"/>
      <c r="T37" s="116" t="n"/>
      <c r="U37" s="116" t="n"/>
      <c r="V37" s="116" t="n"/>
      <c r="W37" s="116" t="n"/>
      <c r="X37" s="116" t="n"/>
      <c r="Y37" s="116" t="n"/>
      <c r="Z37" s="116" t="n"/>
      <c r="AA37" s="116" t="n"/>
      <c r="AB37" s="116" t="n"/>
      <c r="AC37" s="116" t="n"/>
      <c r="AD37" s="116" t="n"/>
      <c r="AE37" s="116" t="n"/>
      <c r="AF37" s="116" t="n"/>
      <c r="AG37" s="116" t="n"/>
      <c r="AH37" s="116" t="n"/>
      <c r="AI37" s="116" t="n"/>
      <c r="AJ37" s="116" t="n"/>
      <c r="AK37" s="116" t="n"/>
      <c r="AL37" s="116" t="n"/>
      <c r="AM37" s="116" t="n"/>
      <c r="AN37" s="116" t="n"/>
      <c r="AO37" s="116" t="n"/>
      <c r="AP37" s="116" t="n"/>
      <c r="AQ37" s="116" t="n"/>
      <c r="AR37" s="116" t="n"/>
      <c r="AS37" s="116" t="n"/>
      <c r="AT37" s="116" t="n"/>
      <c r="AU37" s="116" t="n"/>
      <c r="AV37" s="116" t="n"/>
      <c r="AX37" s="124">
        <f>WBS!G37</f>
        <v/>
      </c>
      <c r="AY37" s="124">
        <f>WBS!H37</f>
        <v/>
      </c>
      <c r="AZ37" s="123">
        <f>WBS!F37</f>
        <v/>
      </c>
    </row>
    <row r="38" ht="18" customHeight="1">
      <c r="A38" s="113" t="inlineStr">
        <is>
          <t>3.3.4</t>
        </is>
      </c>
      <c r="B38" s="122">
        <f>WBS!C38</f>
        <v/>
      </c>
      <c r="C38" s="123">
        <f>WBS!D38</f>
        <v/>
      </c>
      <c r="D38" s="116" t="n"/>
      <c r="E38" s="116" t="n"/>
      <c r="F38" s="116" t="n"/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6" t="n"/>
      <c r="U38" s="116" t="n"/>
      <c r="V38" s="116" t="n"/>
      <c r="W38" s="116" t="n"/>
      <c r="X38" s="116" t="n"/>
      <c r="Y38" s="116" t="n"/>
      <c r="Z38" s="116" t="n"/>
      <c r="AA38" s="116" t="n"/>
      <c r="AB38" s="116" t="n"/>
      <c r="AC38" s="116" t="n"/>
      <c r="AD38" s="116" t="n"/>
      <c r="AE38" s="116" t="n"/>
      <c r="AF38" s="116" t="n"/>
      <c r="AG38" s="116" t="n"/>
      <c r="AH38" s="116" t="n"/>
      <c r="AI38" s="116" t="n"/>
      <c r="AJ38" s="116" t="n"/>
      <c r="AK38" s="116" t="n"/>
      <c r="AL38" s="116" t="n"/>
      <c r="AM38" s="116" t="n"/>
      <c r="AN38" s="116" t="n"/>
      <c r="AO38" s="116" t="n"/>
      <c r="AP38" s="116" t="n"/>
      <c r="AQ38" s="116" t="n"/>
      <c r="AR38" s="116" t="n"/>
      <c r="AS38" s="116" t="n"/>
      <c r="AT38" s="116" t="n"/>
      <c r="AU38" s="116" t="n"/>
      <c r="AV38" s="116" t="n"/>
      <c r="AX38" s="124">
        <f>WBS!G38</f>
        <v/>
      </c>
      <c r="AY38" s="124">
        <f>WBS!H38</f>
        <v/>
      </c>
      <c r="AZ38" s="123">
        <f>WBS!F38</f>
        <v/>
      </c>
    </row>
    <row r="39" ht="18" customHeight="1">
      <c r="A39" s="123" t="inlineStr">
        <is>
          <t>3.3.5</t>
        </is>
      </c>
      <c r="B39" s="122">
        <f>WBS!C39</f>
        <v/>
      </c>
      <c r="C39" s="123">
        <f>WBS!D39</f>
        <v/>
      </c>
      <c r="D39" s="116" t="n"/>
      <c r="E39" s="116" t="n"/>
      <c r="F39" s="116" t="n"/>
      <c r="G39" s="116" t="n"/>
      <c r="H39" s="116" t="n"/>
      <c r="I39" s="116" t="n"/>
      <c r="J39" s="116" t="n"/>
      <c r="K39" s="116" t="n"/>
      <c r="L39" s="116" t="n"/>
      <c r="M39" s="116" t="n"/>
      <c r="N39" s="116" t="n"/>
      <c r="O39" s="116" t="n"/>
      <c r="P39" s="116" t="n"/>
      <c r="Q39" s="116" t="n"/>
      <c r="R39" s="116" t="n"/>
      <c r="S39" s="116" t="n"/>
      <c r="T39" s="116" t="n"/>
      <c r="U39" s="116" t="n"/>
      <c r="V39" s="116" t="n"/>
      <c r="W39" s="116" t="n"/>
      <c r="X39" s="116" t="n"/>
      <c r="Y39" s="116" t="n"/>
      <c r="Z39" s="116" t="n"/>
      <c r="AA39" s="116" t="n"/>
      <c r="AB39" s="116" t="n"/>
      <c r="AC39" s="116" t="n"/>
      <c r="AD39" s="116" t="n"/>
      <c r="AE39" s="116" t="n"/>
      <c r="AF39" s="116" t="n"/>
      <c r="AG39" s="116" t="n"/>
      <c r="AH39" s="116" t="n"/>
      <c r="AI39" s="116" t="n"/>
      <c r="AJ39" s="116" t="n"/>
      <c r="AK39" s="116" t="n"/>
      <c r="AL39" s="116" t="n"/>
      <c r="AM39" s="116" t="n"/>
      <c r="AN39" s="116" t="n"/>
      <c r="AO39" s="116" t="n"/>
      <c r="AP39" s="116" t="n"/>
      <c r="AQ39" s="116" t="n"/>
      <c r="AR39" s="116" t="n"/>
      <c r="AS39" s="116" t="n"/>
      <c r="AT39" s="116" t="n"/>
      <c r="AU39" s="116" t="n"/>
      <c r="AV39" s="116" t="n"/>
      <c r="AX39" s="124">
        <f>WBS!G39</f>
        <v/>
      </c>
      <c r="AY39" s="124">
        <f>WBS!H39</f>
        <v/>
      </c>
      <c r="AZ39" s="123">
        <f>WBS!F39</f>
        <v/>
      </c>
    </row>
    <row r="40" ht="18" customHeight="1">
      <c r="A40" s="113" t="inlineStr">
        <is>
          <t>3.4</t>
        </is>
      </c>
      <c r="B40" s="114">
        <f>WBS!C40</f>
        <v/>
      </c>
      <c r="C40" s="115">
        <f>WBS!D40</f>
        <v/>
      </c>
      <c r="D40" s="116" t="n"/>
      <c r="E40" s="116" t="n"/>
      <c r="F40" s="116" t="n"/>
      <c r="G40" s="116" t="n"/>
      <c r="H40" s="116" t="n"/>
      <c r="I40" s="116" t="n"/>
      <c r="J40" s="116" t="n"/>
      <c r="K40" s="116" t="n"/>
      <c r="L40" s="116" t="n"/>
      <c r="M40" s="116" t="n"/>
      <c r="N40" s="116" t="n"/>
      <c r="O40" s="116" t="n"/>
      <c r="P40" s="116" t="n"/>
      <c r="Q40" s="116" t="n"/>
      <c r="R40" s="116" t="n"/>
      <c r="S40" s="116" t="n"/>
      <c r="T40" s="116" t="n"/>
      <c r="U40" s="116" t="n"/>
      <c r="V40" s="116" t="n"/>
      <c r="W40" s="116" t="n"/>
      <c r="X40" s="116" t="n"/>
      <c r="Y40" s="116" t="n"/>
      <c r="Z40" s="116" t="n"/>
      <c r="AA40" s="116" t="n"/>
      <c r="AB40" s="116" t="n"/>
      <c r="AC40" s="116" t="n"/>
      <c r="AD40" s="116" t="n"/>
      <c r="AE40" s="116" t="n"/>
      <c r="AF40" s="116" t="n"/>
      <c r="AG40" s="116" t="n"/>
      <c r="AH40" s="116" t="n"/>
      <c r="AI40" s="116" t="n"/>
      <c r="AJ40" s="116" t="n"/>
      <c r="AK40" s="116" t="n"/>
      <c r="AL40" s="116" t="n"/>
      <c r="AM40" s="116" t="n"/>
      <c r="AN40" s="116" t="n"/>
      <c r="AO40" s="116" t="n"/>
      <c r="AP40" s="116" t="n"/>
      <c r="AQ40" s="116" t="n"/>
      <c r="AR40" s="116" t="n"/>
      <c r="AS40" s="116" t="n"/>
      <c r="AT40" s="116" t="n"/>
      <c r="AU40" s="116" t="n"/>
      <c r="AV40" s="116" t="n"/>
      <c r="AX40" s="117">
        <f>WBS!G40</f>
        <v/>
      </c>
      <c r="AY40" s="117">
        <f>WBS!H40</f>
        <v/>
      </c>
      <c r="AZ40" s="115">
        <f>WBS!F40</f>
        <v/>
      </c>
    </row>
    <row r="41" ht="18" customHeight="1">
      <c r="A41" s="113" t="inlineStr">
        <is>
          <t>3.4.1</t>
        </is>
      </c>
      <c r="B41" s="122">
        <f>WBS!C41</f>
        <v/>
      </c>
      <c r="C41" s="123">
        <f>WBS!D41</f>
        <v/>
      </c>
      <c r="D41" s="116" t="n"/>
      <c r="E41" s="116" t="n"/>
      <c r="F41" s="116" t="n"/>
      <c r="G41" s="116" t="n"/>
      <c r="H41" s="116" t="n"/>
      <c r="I41" s="116" t="n"/>
      <c r="J41" s="116" t="n"/>
      <c r="K41" s="116" t="n"/>
      <c r="L41" s="116" t="n"/>
      <c r="M41" s="116" t="n"/>
      <c r="N41" s="116" t="n"/>
      <c r="O41" s="116" t="n"/>
      <c r="P41" s="116" t="n"/>
      <c r="Q41" s="116" t="n"/>
      <c r="R41" s="116" t="n"/>
      <c r="S41" s="116" t="n"/>
      <c r="T41" s="116" t="n"/>
      <c r="U41" s="116" t="n"/>
      <c r="V41" s="116" t="n"/>
      <c r="W41" s="116" t="n"/>
      <c r="X41" s="116" t="n"/>
      <c r="Y41" s="116" t="n"/>
      <c r="Z41" s="116" t="n"/>
      <c r="AA41" s="116" t="n"/>
      <c r="AB41" s="116" t="n"/>
      <c r="AC41" s="116" t="n"/>
      <c r="AD41" s="116" t="n"/>
      <c r="AE41" s="116" t="n"/>
      <c r="AF41" s="116" t="n"/>
      <c r="AG41" s="116" t="n"/>
      <c r="AH41" s="116" t="n"/>
      <c r="AI41" s="116" t="n"/>
      <c r="AJ41" s="116" t="n"/>
      <c r="AK41" s="116" t="n"/>
      <c r="AL41" s="116" t="n"/>
      <c r="AM41" s="116" t="n"/>
      <c r="AN41" s="116" t="n"/>
      <c r="AO41" s="116" t="n"/>
      <c r="AP41" s="116" t="n"/>
      <c r="AQ41" s="116" t="n"/>
      <c r="AR41" s="116" t="n"/>
      <c r="AS41" s="116" t="n"/>
      <c r="AT41" s="116" t="n"/>
      <c r="AU41" s="116" t="n"/>
      <c r="AV41" s="116" t="n"/>
      <c r="AX41" s="124">
        <f>WBS!G41</f>
        <v/>
      </c>
      <c r="AY41" s="124">
        <f>WBS!H41</f>
        <v/>
      </c>
      <c r="AZ41" s="123">
        <f>WBS!F41</f>
        <v/>
      </c>
    </row>
    <row r="42" ht="18" customHeight="1">
      <c r="A42" s="123" t="inlineStr">
        <is>
          <t>3.4.2</t>
        </is>
      </c>
      <c r="B42" s="122">
        <f>WBS!C42</f>
        <v/>
      </c>
      <c r="C42" s="123">
        <f>WBS!D42</f>
        <v/>
      </c>
      <c r="D42" s="116" t="n"/>
      <c r="E42" s="116" t="n"/>
      <c r="F42" s="116" t="n"/>
      <c r="G42" s="116" t="n"/>
      <c r="H42" s="116" t="n"/>
      <c r="I42" s="116" t="n"/>
      <c r="J42" s="116" t="n"/>
      <c r="K42" s="116" t="n"/>
      <c r="L42" s="116" t="n"/>
      <c r="M42" s="116" t="n"/>
      <c r="N42" s="116" t="n"/>
      <c r="O42" s="116" t="n"/>
      <c r="P42" s="116" t="n"/>
      <c r="Q42" s="116" t="n"/>
      <c r="R42" s="116" t="n"/>
      <c r="S42" s="116" t="n"/>
      <c r="T42" s="116" t="n"/>
      <c r="U42" s="116" t="n"/>
      <c r="V42" s="116" t="n"/>
      <c r="W42" s="116" t="n"/>
      <c r="X42" s="116" t="n"/>
      <c r="Y42" s="116" t="n"/>
      <c r="Z42" s="116" t="n"/>
      <c r="AA42" s="116" t="n"/>
      <c r="AB42" s="116" t="n"/>
      <c r="AC42" s="116" t="n"/>
      <c r="AD42" s="116" t="n"/>
      <c r="AE42" s="116" t="n"/>
      <c r="AF42" s="116" t="n"/>
      <c r="AG42" s="116" t="n"/>
      <c r="AH42" s="116" t="n"/>
      <c r="AI42" s="116" t="n"/>
      <c r="AJ42" s="116" t="n"/>
      <c r="AK42" s="116" t="n"/>
      <c r="AL42" s="116" t="n"/>
      <c r="AM42" s="116" t="n"/>
      <c r="AN42" s="116" t="n"/>
      <c r="AO42" s="116" t="n"/>
      <c r="AP42" s="116" t="n"/>
      <c r="AQ42" s="116" t="n"/>
      <c r="AR42" s="116" t="n"/>
      <c r="AS42" s="116" t="n"/>
      <c r="AT42" s="116" t="n"/>
      <c r="AU42" s="116" t="n"/>
      <c r="AV42" s="116" t="n"/>
      <c r="AX42" s="124">
        <f>WBS!G42</f>
        <v/>
      </c>
      <c r="AY42" s="124">
        <f>WBS!H42</f>
        <v/>
      </c>
      <c r="AZ42" s="123">
        <f>WBS!F42</f>
        <v/>
      </c>
    </row>
    <row r="43" ht="18" customHeight="1">
      <c r="A43" s="123" t="inlineStr">
        <is>
          <t>3.4.3</t>
        </is>
      </c>
      <c r="B43" s="122">
        <f>WBS!C43</f>
        <v/>
      </c>
      <c r="C43" s="123">
        <f>WBS!D43</f>
        <v/>
      </c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  <c r="S43" s="116" t="n"/>
      <c r="T43" s="116" t="n"/>
      <c r="U43" s="116" t="n"/>
      <c r="V43" s="116" t="n"/>
      <c r="W43" s="116" t="n"/>
      <c r="X43" s="116" t="n"/>
      <c r="Y43" s="116" t="n"/>
      <c r="Z43" s="116" t="n"/>
      <c r="AA43" s="116" t="n"/>
      <c r="AB43" s="116" t="n"/>
      <c r="AC43" s="116" t="n"/>
      <c r="AD43" s="116" t="n"/>
      <c r="AE43" s="116" t="n"/>
      <c r="AF43" s="116" t="n"/>
      <c r="AG43" s="116" t="n"/>
      <c r="AH43" s="116" t="n"/>
      <c r="AI43" s="116" t="n"/>
      <c r="AJ43" s="116" t="n"/>
      <c r="AK43" s="116" t="n"/>
      <c r="AL43" s="116" t="n"/>
      <c r="AM43" s="116" t="n"/>
      <c r="AN43" s="116" t="n"/>
      <c r="AO43" s="116" t="n"/>
      <c r="AP43" s="116" t="n"/>
      <c r="AQ43" s="116" t="n"/>
      <c r="AR43" s="116" t="n"/>
      <c r="AS43" s="116" t="n"/>
      <c r="AT43" s="116" t="n"/>
      <c r="AU43" s="116" t="n"/>
      <c r="AV43" s="116" t="n"/>
      <c r="AX43" s="124">
        <f>WBS!G43</f>
        <v/>
      </c>
      <c r="AY43" s="124">
        <f>WBS!H43</f>
        <v/>
      </c>
      <c r="AZ43" s="123">
        <f>WBS!F43</f>
        <v/>
      </c>
    </row>
    <row r="44" ht="18" customHeight="1">
      <c r="A44" s="123" t="inlineStr">
        <is>
          <t>3.4.4</t>
        </is>
      </c>
      <c r="B44" s="122">
        <f>WBS!C44</f>
        <v/>
      </c>
      <c r="C44" s="123">
        <f>WBS!D44</f>
        <v/>
      </c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  <c r="S44" s="116" t="n"/>
      <c r="T44" s="116" t="n"/>
      <c r="U44" s="116" t="n"/>
      <c r="V44" s="116" t="n"/>
      <c r="W44" s="116" t="n"/>
      <c r="X44" s="116" t="n"/>
      <c r="Y44" s="116" t="n"/>
      <c r="Z44" s="116" t="n"/>
      <c r="AA44" s="116" t="n"/>
      <c r="AB44" s="116" t="n"/>
      <c r="AC44" s="116" t="n"/>
      <c r="AD44" s="116" t="n"/>
      <c r="AE44" s="116" t="n"/>
      <c r="AF44" s="116" t="n"/>
      <c r="AG44" s="116" t="n"/>
      <c r="AH44" s="116" t="n"/>
      <c r="AI44" s="116" t="n"/>
      <c r="AJ44" s="116" t="n"/>
      <c r="AK44" s="116" t="n"/>
      <c r="AL44" s="116" t="n"/>
      <c r="AM44" s="116" t="n"/>
      <c r="AN44" s="116" t="n"/>
      <c r="AO44" s="116" t="n"/>
      <c r="AP44" s="116" t="n"/>
      <c r="AQ44" s="116" t="n"/>
      <c r="AR44" s="116" t="n"/>
      <c r="AS44" s="116" t="n"/>
      <c r="AT44" s="116" t="n"/>
      <c r="AU44" s="116" t="n"/>
      <c r="AV44" s="116" t="n"/>
      <c r="AX44" s="124">
        <f>WBS!G44</f>
        <v/>
      </c>
      <c r="AY44" s="124">
        <f>WBS!H44</f>
        <v/>
      </c>
      <c r="AZ44" s="123">
        <f>WBS!F44</f>
        <v/>
      </c>
    </row>
    <row r="45" ht="18" customHeight="1">
      <c r="A45" s="113" t="inlineStr">
        <is>
          <t>3.5</t>
        </is>
      </c>
      <c r="B45" s="114">
        <f>WBS!C45</f>
        <v/>
      </c>
      <c r="C45" s="115">
        <f>WBS!D45</f>
        <v/>
      </c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  <c r="S45" s="116" t="n"/>
      <c r="T45" s="116" t="n"/>
      <c r="U45" s="116" t="n"/>
      <c r="V45" s="116" t="n"/>
      <c r="W45" s="116" t="n"/>
      <c r="X45" s="116" t="n"/>
      <c r="Y45" s="116" t="n"/>
      <c r="Z45" s="116" t="n"/>
      <c r="AA45" s="116" t="n"/>
      <c r="AB45" s="116" t="n"/>
      <c r="AC45" s="116" t="n"/>
      <c r="AD45" s="116" t="n"/>
      <c r="AE45" s="116" t="n"/>
      <c r="AF45" s="116" t="n"/>
      <c r="AG45" s="116" t="n"/>
      <c r="AH45" s="116" t="n"/>
      <c r="AI45" s="116" t="n"/>
      <c r="AJ45" s="116" t="n"/>
      <c r="AK45" s="116" t="n"/>
      <c r="AL45" s="116" t="n"/>
      <c r="AM45" s="116" t="n"/>
      <c r="AN45" s="116" t="n"/>
      <c r="AO45" s="116" t="n"/>
      <c r="AP45" s="116" t="n"/>
      <c r="AQ45" s="116" t="n"/>
      <c r="AR45" s="116" t="n"/>
      <c r="AS45" s="116" t="n"/>
      <c r="AT45" s="116" t="n"/>
      <c r="AU45" s="116" t="n"/>
      <c r="AV45" s="116" t="n"/>
      <c r="AX45" s="117">
        <f>WBS!G45</f>
        <v/>
      </c>
      <c r="AY45" s="117">
        <f>WBS!H45</f>
        <v/>
      </c>
      <c r="AZ45" s="115">
        <f>WBS!F45</f>
        <v/>
      </c>
    </row>
    <row r="46" ht="18" customHeight="1">
      <c r="A46" s="113" t="inlineStr">
        <is>
          <t>3.5.1</t>
        </is>
      </c>
      <c r="B46" s="122">
        <f>WBS!C46</f>
        <v/>
      </c>
      <c r="C46" s="123">
        <f>WBS!D46</f>
        <v/>
      </c>
      <c r="D46" s="116" t="n"/>
      <c r="E46" s="116" t="n"/>
      <c r="F46" s="116" t="n"/>
      <c r="G46" s="116" t="n"/>
      <c r="H46" s="116" t="n"/>
      <c r="I46" s="116" t="n"/>
      <c r="J46" s="116" t="n"/>
      <c r="K46" s="116" t="n"/>
      <c r="L46" s="116" t="n"/>
      <c r="M46" s="116" t="n"/>
      <c r="N46" s="116" t="n"/>
      <c r="O46" s="116" t="n"/>
      <c r="P46" s="116" t="n"/>
      <c r="Q46" s="116" t="n"/>
      <c r="R46" s="116" t="n"/>
      <c r="S46" s="116" t="n"/>
      <c r="T46" s="116" t="n"/>
      <c r="U46" s="116" t="n"/>
      <c r="V46" s="116" t="n"/>
      <c r="W46" s="116" t="n"/>
      <c r="X46" s="116" t="n"/>
      <c r="Y46" s="116" t="n"/>
      <c r="Z46" s="116" t="n"/>
      <c r="AA46" s="116" t="n"/>
      <c r="AB46" s="116" t="n"/>
      <c r="AC46" s="116" t="n"/>
      <c r="AD46" s="116" t="n"/>
      <c r="AE46" s="116" t="n"/>
      <c r="AF46" s="116" t="n"/>
      <c r="AG46" s="116" t="n"/>
      <c r="AH46" s="116" t="n"/>
      <c r="AI46" s="116" t="n"/>
      <c r="AJ46" s="116" t="n"/>
      <c r="AK46" s="116" t="n"/>
      <c r="AL46" s="116" t="n"/>
      <c r="AM46" s="116" t="n"/>
      <c r="AN46" s="116" t="n"/>
      <c r="AO46" s="116" t="n"/>
      <c r="AP46" s="116" t="n"/>
      <c r="AQ46" s="116" t="n"/>
      <c r="AR46" s="116" t="n"/>
      <c r="AS46" s="116" t="n"/>
      <c r="AT46" s="116" t="n"/>
      <c r="AU46" s="116" t="n"/>
      <c r="AV46" s="116" t="n"/>
      <c r="AX46" s="124">
        <f>WBS!G46</f>
        <v/>
      </c>
      <c r="AY46" s="124">
        <f>WBS!H46</f>
        <v/>
      </c>
      <c r="AZ46" s="123">
        <f>WBS!F46</f>
        <v/>
      </c>
    </row>
    <row r="47" ht="18" customHeight="1">
      <c r="A47" s="123" t="inlineStr">
        <is>
          <t>3.5.2</t>
        </is>
      </c>
      <c r="B47" s="122">
        <f>WBS!C47</f>
        <v/>
      </c>
      <c r="C47" s="123">
        <f>WBS!D47</f>
        <v/>
      </c>
      <c r="D47" s="116" t="n"/>
      <c r="E47" s="116" t="n"/>
      <c r="F47" s="116" t="n"/>
      <c r="G47" s="116" t="n"/>
      <c r="H47" s="116" t="n"/>
      <c r="I47" s="116" t="n"/>
      <c r="J47" s="116" t="n"/>
      <c r="K47" s="116" t="n"/>
      <c r="L47" s="116" t="n"/>
      <c r="M47" s="116" t="n"/>
      <c r="N47" s="116" t="n"/>
      <c r="O47" s="116" t="n"/>
      <c r="P47" s="116" t="n"/>
      <c r="Q47" s="116" t="n"/>
      <c r="R47" s="116" t="n"/>
      <c r="S47" s="116" t="n"/>
      <c r="T47" s="116" t="n"/>
      <c r="U47" s="116" t="n"/>
      <c r="V47" s="116" t="n"/>
      <c r="W47" s="116" t="n"/>
      <c r="X47" s="116" t="n"/>
      <c r="Y47" s="116" t="n"/>
      <c r="Z47" s="116" t="n"/>
      <c r="AA47" s="116" t="n"/>
      <c r="AB47" s="116" t="n"/>
      <c r="AC47" s="116" t="n"/>
      <c r="AD47" s="116" t="n"/>
      <c r="AE47" s="116" t="n"/>
      <c r="AF47" s="116" t="n"/>
      <c r="AG47" s="116" t="n"/>
      <c r="AH47" s="116" t="n"/>
      <c r="AI47" s="116" t="n"/>
      <c r="AJ47" s="116" t="n"/>
      <c r="AK47" s="116" t="n"/>
      <c r="AL47" s="116" t="n"/>
      <c r="AM47" s="116" t="n"/>
      <c r="AN47" s="116" t="n"/>
      <c r="AO47" s="116" t="n"/>
      <c r="AP47" s="116" t="n"/>
      <c r="AQ47" s="116" t="n"/>
      <c r="AR47" s="116" t="n"/>
      <c r="AS47" s="116" t="n"/>
      <c r="AT47" s="116" t="n"/>
      <c r="AU47" s="116" t="n"/>
      <c r="AV47" s="116" t="n"/>
      <c r="AX47" s="124">
        <f>WBS!G47</f>
        <v/>
      </c>
      <c r="AY47" s="124">
        <f>WBS!H47</f>
        <v/>
      </c>
      <c r="AZ47" s="123">
        <f>WBS!F47</f>
        <v/>
      </c>
    </row>
    <row r="48" ht="18" customHeight="1">
      <c r="A48" s="123" t="inlineStr">
        <is>
          <t>3.5.3</t>
        </is>
      </c>
      <c r="B48" s="122">
        <f>WBS!C48</f>
        <v/>
      </c>
      <c r="C48" s="123">
        <f>WBS!D48</f>
        <v/>
      </c>
      <c r="D48" s="116" t="n"/>
      <c r="E48" s="116" t="n"/>
      <c r="F48" s="116" t="n"/>
      <c r="G48" s="116" t="n"/>
      <c r="H48" s="116" t="n"/>
      <c r="I48" s="116" t="n"/>
      <c r="J48" s="116" t="n"/>
      <c r="K48" s="116" t="n"/>
      <c r="L48" s="116" t="n"/>
      <c r="M48" s="116" t="n"/>
      <c r="N48" s="116" t="n"/>
      <c r="O48" s="116" t="n"/>
      <c r="P48" s="116" t="n"/>
      <c r="Q48" s="116" t="n"/>
      <c r="R48" s="116" t="n"/>
      <c r="S48" s="116" t="n"/>
      <c r="T48" s="116" t="n"/>
      <c r="U48" s="116" t="n"/>
      <c r="V48" s="116" t="n"/>
      <c r="W48" s="116" t="n"/>
      <c r="X48" s="116" t="n"/>
      <c r="Y48" s="116" t="n"/>
      <c r="Z48" s="116" t="n"/>
      <c r="AA48" s="116" t="n"/>
      <c r="AB48" s="116" t="n"/>
      <c r="AC48" s="116" t="n"/>
      <c r="AD48" s="116" t="n"/>
      <c r="AE48" s="116" t="n"/>
      <c r="AF48" s="116" t="n"/>
      <c r="AG48" s="116" t="n"/>
      <c r="AH48" s="116" t="n"/>
      <c r="AI48" s="116" t="n"/>
      <c r="AJ48" s="116" t="n"/>
      <c r="AK48" s="116" t="n"/>
      <c r="AL48" s="116" t="n"/>
      <c r="AM48" s="116" t="n"/>
      <c r="AN48" s="116" t="n"/>
      <c r="AO48" s="116" t="n"/>
      <c r="AP48" s="116" t="n"/>
      <c r="AQ48" s="116" t="n"/>
      <c r="AR48" s="116" t="n"/>
      <c r="AS48" s="116" t="n"/>
      <c r="AT48" s="116" t="n"/>
      <c r="AU48" s="116" t="n"/>
      <c r="AV48" s="116" t="n"/>
      <c r="AX48" s="124">
        <f>WBS!G48</f>
        <v/>
      </c>
      <c r="AY48" s="124">
        <f>WBS!H48</f>
        <v/>
      </c>
      <c r="AZ48" s="123">
        <f>WBS!F48</f>
        <v/>
      </c>
    </row>
    <row r="49" ht="18" customHeight="1">
      <c r="A49" s="123" t="inlineStr">
        <is>
          <t>3.5.4</t>
        </is>
      </c>
      <c r="B49" s="122">
        <f>WBS!C49</f>
        <v/>
      </c>
      <c r="C49" s="123">
        <f>WBS!D49</f>
        <v/>
      </c>
      <c r="D49" s="116" t="n"/>
      <c r="E49" s="116" t="n"/>
      <c r="F49" s="116" t="n"/>
      <c r="G49" s="116" t="n"/>
      <c r="H49" s="116" t="n"/>
      <c r="I49" s="116" t="n"/>
      <c r="J49" s="116" t="n"/>
      <c r="K49" s="116" t="n"/>
      <c r="L49" s="116" t="n"/>
      <c r="M49" s="116" t="n"/>
      <c r="N49" s="116" t="n"/>
      <c r="O49" s="116" t="n"/>
      <c r="P49" s="116" t="n"/>
      <c r="Q49" s="116" t="n"/>
      <c r="R49" s="116" t="n"/>
      <c r="S49" s="116" t="n"/>
      <c r="T49" s="116" t="n"/>
      <c r="U49" s="116" t="n"/>
      <c r="V49" s="116" t="n"/>
      <c r="W49" s="116" t="n"/>
      <c r="X49" s="116" t="n"/>
      <c r="Y49" s="116" t="n"/>
      <c r="Z49" s="116" t="n"/>
      <c r="AA49" s="116" t="n"/>
      <c r="AB49" s="116" t="n"/>
      <c r="AC49" s="116" t="n"/>
      <c r="AD49" s="116" t="n"/>
      <c r="AE49" s="116" t="n"/>
      <c r="AF49" s="116" t="n"/>
      <c r="AG49" s="116" t="n"/>
      <c r="AH49" s="116" t="n"/>
      <c r="AI49" s="116" t="n"/>
      <c r="AJ49" s="116" t="n"/>
      <c r="AK49" s="116" t="n"/>
      <c r="AL49" s="116" t="n"/>
      <c r="AM49" s="116" t="n"/>
      <c r="AN49" s="116" t="n"/>
      <c r="AO49" s="116" t="n"/>
      <c r="AP49" s="116" t="n"/>
      <c r="AQ49" s="116" t="n"/>
      <c r="AR49" s="116" t="n"/>
      <c r="AS49" s="116" t="n"/>
      <c r="AT49" s="116" t="n"/>
      <c r="AU49" s="116" t="n"/>
      <c r="AV49" s="116" t="n"/>
      <c r="AX49" s="124">
        <f>WBS!G49</f>
        <v/>
      </c>
      <c r="AY49" s="124">
        <f>WBS!H49</f>
        <v/>
      </c>
      <c r="AZ49" s="123">
        <f>WBS!F49</f>
        <v/>
      </c>
    </row>
    <row r="50" ht="18" customHeight="1">
      <c r="A50" s="113" t="inlineStr">
        <is>
          <t>3.6</t>
        </is>
      </c>
      <c r="B50" s="114">
        <f>WBS!C50</f>
        <v/>
      </c>
      <c r="C50" s="115">
        <f>WBS!D50</f>
        <v/>
      </c>
      <c r="D50" s="116" t="n"/>
      <c r="E50" s="116" t="n"/>
      <c r="F50" s="116" t="n"/>
      <c r="G50" s="116" t="n"/>
      <c r="H50" s="116" t="n"/>
      <c r="I50" s="116" t="n"/>
      <c r="J50" s="116" t="n"/>
      <c r="K50" s="116" t="n"/>
      <c r="L50" s="116" t="n"/>
      <c r="M50" s="116" t="n"/>
      <c r="N50" s="116" t="n"/>
      <c r="O50" s="116" t="n"/>
      <c r="P50" s="116" t="n"/>
      <c r="Q50" s="116" t="n"/>
      <c r="R50" s="116" t="n"/>
      <c r="S50" s="116" t="n"/>
      <c r="T50" s="116" t="n"/>
      <c r="U50" s="116" t="n"/>
      <c r="V50" s="116" t="n"/>
      <c r="W50" s="116" t="n"/>
      <c r="X50" s="116" t="n"/>
      <c r="Y50" s="116" t="n"/>
      <c r="Z50" s="116" t="n"/>
      <c r="AA50" s="116" t="n"/>
      <c r="AB50" s="116" t="n"/>
      <c r="AC50" s="116" t="n"/>
      <c r="AD50" s="116" t="n"/>
      <c r="AE50" s="116" t="n"/>
      <c r="AF50" s="116" t="n"/>
      <c r="AG50" s="116" t="n"/>
      <c r="AH50" s="116" t="n"/>
      <c r="AI50" s="116" t="n"/>
      <c r="AJ50" s="116" t="n"/>
      <c r="AK50" s="116" t="n"/>
      <c r="AL50" s="116" t="n"/>
      <c r="AM50" s="116" t="n"/>
      <c r="AN50" s="116" t="n"/>
      <c r="AO50" s="116" t="n"/>
      <c r="AP50" s="116" t="n"/>
      <c r="AQ50" s="116" t="n"/>
      <c r="AR50" s="116" t="n"/>
      <c r="AS50" s="116" t="n"/>
      <c r="AT50" s="116" t="n"/>
      <c r="AU50" s="116" t="n"/>
      <c r="AV50" s="116" t="n"/>
      <c r="AX50" s="117">
        <f>WBS!G50</f>
        <v/>
      </c>
      <c r="AY50" s="117">
        <f>WBS!H50</f>
        <v/>
      </c>
      <c r="AZ50" s="115">
        <f>WBS!F50</f>
        <v/>
      </c>
    </row>
    <row r="51" ht="18" customHeight="1">
      <c r="A51" s="113" t="inlineStr">
        <is>
          <t>3.6.1</t>
        </is>
      </c>
      <c r="B51" s="122">
        <f>WBS!C51</f>
        <v/>
      </c>
      <c r="C51" s="123">
        <f>WBS!D51</f>
        <v/>
      </c>
      <c r="D51" s="116" t="n"/>
      <c r="E51" s="116" t="n"/>
      <c r="F51" s="116" t="n"/>
      <c r="G51" s="116" t="n"/>
      <c r="H51" s="116" t="n"/>
      <c r="I51" s="116" t="n"/>
      <c r="J51" s="116" t="n"/>
      <c r="K51" s="116" t="n"/>
      <c r="L51" s="116" t="n"/>
      <c r="M51" s="116" t="n"/>
      <c r="N51" s="116" t="n"/>
      <c r="O51" s="116" t="n"/>
      <c r="P51" s="116" t="n"/>
      <c r="Q51" s="116" t="n"/>
      <c r="R51" s="116" t="n"/>
      <c r="S51" s="116" t="n"/>
      <c r="T51" s="116" t="n"/>
      <c r="U51" s="116" t="n"/>
      <c r="V51" s="116" t="n"/>
      <c r="W51" s="116" t="n"/>
      <c r="X51" s="116" t="n"/>
      <c r="Y51" s="116" t="n"/>
      <c r="Z51" s="116" t="n"/>
      <c r="AA51" s="116" t="n"/>
      <c r="AB51" s="116" t="n"/>
      <c r="AC51" s="116" t="n"/>
      <c r="AD51" s="116" t="n"/>
      <c r="AE51" s="116" t="n"/>
      <c r="AF51" s="116" t="n"/>
      <c r="AG51" s="116" t="n"/>
      <c r="AH51" s="116" t="n"/>
      <c r="AI51" s="116" t="n"/>
      <c r="AJ51" s="116" t="n"/>
      <c r="AK51" s="116" t="n"/>
      <c r="AL51" s="116" t="n"/>
      <c r="AM51" s="116" t="n"/>
      <c r="AN51" s="116" t="n"/>
      <c r="AO51" s="116" t="n"/>
      <c r="AP51" s="116" t="n"/>
      <c r="AQ51" s="116" t="n"/>
      <c r="AR51" s="116" t="n"/>
      <c r="AS51" s="116" t="n"/>
      <c r="AT51" s="116" t="n"/>
      <c r="AU51" s="116" t="n"/>
      <c r="AV51" s="116" t="n"/>
      <c r="AX51" s="124">
        <f>WBS!G51</f>
        <v/>
      </c>
      <c r="AY51" s="124">
        <f>WBS!H51</f>
        <v/>
      </c>
      <c r="AZ51" s="123">
        <f>WBS!F51</f>
        <v/>
      </c>
    </row>
    <row r="52" ht="18" customHeight="1">
      <c r="A52" s="113" t="inlineStr">
        <is>
          <t>3.6.2</t>
        </is>
      </c>
      <c r="B52" s="122">
        <f>WBS!C52</f>
        <v/>
      </c>
      <c r="C52" s="123">
        <f>WBS!D52</f>
        <v/>
      </c>
      <c r="D52" s="116" t="n"/>
      <c r="E52" s="116" t="n"/>
      <c r="F52" s="116" t="n"/>
      <c r="G52" s="116" t="n"/>
      <c r="H52" s="116" t="n"/>
      <c r="I52" s="116" t="n"/>
      <c r="J52" s="116" t="n"/>
      <c r="K52" s="116" t="n"/>
      <c r="L52" s="116" t="n"/>
      <c r="M52" s="116" t="n"/>
      <c r="N52" s="116" t="n"/>
      <c r="O52" s="116" t="n"/>
      <c r="P52" s="116" t="n"/>
      <c r="Q52" s="116" t="n"/>
      <c r="R52" s="116" t="n"/>
      <c r="S52" s="116" t="n"/>
      <c r="T52" s="116" t="n"/>
      <c r="U52" s="116" t="n"/>
      <c r="V52" s="116" t="n"/>
      <c r="W52" s="116" t="n"/>
      <c r="X52" s="116" t="n"/>
      <c r="Y52" s="116" t="n"/>
      <c r="Z52" s="116" t="n"/>
      <c r="AA52" s="116" t="n"/>
      <c r="AB52" s="116" t="n"/>
      <c r="AC52" s="116" t="n"/>
      <c r="AD52" s="116" t="n"/>
      <c r="AE52" s="116" t="n"/>
      <c r="AF52" s="116" t="n"/>
      <c r="AG52" s="116" t="n"/>
      <c r="AH52" s="116" t="n"/>
      <c r="AI52" s="116" t="n"/>
      <c r="AJ52" s="116" t="n"/>
      <c r="AK52" s="116" t="n"/>
      <c r="AL52" s="116" t="n"/>
      <c r="AM52" s="116" t="n"/>
      <c r="AN52" s="116" t="n"/>
      <c r="AO52" s="116" t="n"/>
      <c r="AP52" s="116" t="n"/>
      <c r="AQ52" s="116" t="n"/>
      <c r="AR52" s="116" t="n"/>
      <c r="AS52" s="116" t="n"/>
      <c r="AT52" s="116" t="n"/>
      <c r="AU52" s="116" t="n"/>
      <c r="AV52" s="116" t="n"/>
      <c r="AX52" s="124">
        <f>WBS!G52</f>
        <v/>
      </c>
      <c r="AY52" s="124">
        <f>WBS!H52</f>
        <v/>
      </c>
      <c r="AZ52" s="123">
        <f>WBS!F52</f>
        <v/>
      </c>
    </row>
    <row r="53" ht="18" customHeight="1">
      <c r="A53" s="113" t="inlineStr">
        <is>
          <t>3.6.3</t>
        </is>
      </c>
      <c r="B53" s="122">
        <f>WBS!C53</f>
        <v/>
      </c>
      <c r="C53" s="123">
        <f>WBS!D53</f>
        <v/>
      </c>
      <c r="D53" s="116" t="n"/>
      <c r="E53" s="116" t="n"/>
      <c r="F53" s="116" t="n"/>
      <c r="G53" s="116" t="n"/>
      <c r="H53" s="116" t="n"/>
      <c r="I53" s="116" t="n"/>
      <c r="J53" s="116" t="n"/>
      <c r="K53" s="116" t="n"/>
      <c r="L53" s="116" t="n"/>
      <c r="M53" s="116" t="n"/>
      <c r="N53" s="116" t="n"/>
      <c r="O53" s="116" t="n"/>
      <c r="P53" s="116" t="n"/>
      <c r="Q53" s="116" t="n"/>
      <c r="R53" s="116" t="n"/>
      <c r="S53" s="116" t="n"/>
      <c r="T53" s="116" t="n"/>
      <c r="U53" s="116" t="n"/>
      <c r="V53" s="116" t="n"/>
      <c r="W53" s="116" t="n"/>
      <c r="X53" s="116" t="n"/>
      <c r="Y53" s="116" t="n"/>
      <c r="Z53" s="116" t="n"/>
      <c r="AA53" s="116" t="n"/>
      <c r="AB53" s="116" t="n"/>
      <c r="AC53" s="116" t="n"/>
      <c r="AD53" s="116" t="n"/>
      <c r="AE53" s="116" t="n"/>
      <c r="AF53" s="116" t="n"/>
      <c r="AG53" s="116" t="n"/>
      <c r="AH53" s="116" t="n"/>
      <c r="AI53" s="116" t="n"/>
      <c r="AJ53" s="116" t="n"/>
      <c r="AK53" s="116" t="n"/>
      <c r="AL53" s="116" t="n"/>
      <c r="AM53" s="116" t="n"/>
      <c r="AN53" s="116" t="n"/>
      <c r="AO53" s="116" t="n"/>
      <c r="AP53" s="116" t="n"/>
      <c r="AQ53" s="116" t="n"/>
      <c r="AR53" s="116" t="n"/>
      <c r="AS53" s="116" t="n"/>
      <c r="AT53" s="116" t="n"/>
      <c r="AU53" s="116" t="n"/>
      <c r="AV53" s="116" t="n"/>
      <c r="AX53" s="124">
        <f>WBS!G53</f>
        <v/>
      </c>
      <c r="AY53" s="124">
        <f>WBS!H53</f>
        <v/>
      </c>
      <c r="AZ53" s="123">
        <f>WBS!F53</f>
        <v/>
      </c>
    </row>
    <row r="54" ht="18" customHeight="1">
      <c r="A54" s="113" t="inlineStr">
        <is>
          <t>3.6.4</t>
        </is>
      </c>
      <c r="B54" s="122">
        <f>WBS!C54</f>
        <v/>
      </c>
      <c r="C54" s="123">
        <f>WBS!D54</f>
        <v/>
      </c>
      <c r="D54" s="116" t="n"/>
      <c r="E54" s="116" t="n"/>
      <c r="F54" s="116" t="n"/>
      <c r="G54" s="116" t="n"/>
      <c r="H54" s="116" t="n"/>
      <c r="I54" s="116" t="n"/>
      <c r="J54" s="116" t="n"/>
      <c r="K54" s="116" t="n"/>
      <c r="L54" s="116" t="n"/>
      <c r="M54" s="116" t="n"/>
      <c r="N54" s="116" t="n"/>
      <c r="O54" s="116" t="n"/>
      <c r="P54" s="116" t="n"/>
      <c r="Q54" s="116" t="n"/>
      <c r="R54" s="116" t="n"/>
      <c r="S54" s="116" t="n"/>
      <c r="T54" s="116" t="n"/>
      <c r="U54" s="116" t="n"/>
      <c r="V54" s="116" t="n"/>
      <c r="W54" s="116" t="n"/>
      <c r="X54" s="116" t="n"/>
      <c r="Y54" s="116" t="n"/>
      <c r="Z54" s="116" t="n"/>
      <c r="AA54" s="116" t="n"/>
      <c r="AB54" s="116" t="n"/>
      <c r="AC54" s="116" t="n"/>
      <c r="AD54" s="116" t="n"/>
      <c r="AE54" s="116" t="n"/>
      <c r="AF54" s="116" t="n"/>
      <c r="AG54" s="116" t="n"/>
      <c r="AH54" s="116" t="n"/>
      <c r="AI54" s="116" t="n"/>
      <c r="AJ54" s="116" t="n"/>
      <c r="AK54" s="116" t="n"/>
      <c r="AL54" s="116" t="n"/>
      <c r="AM54" s="116" t="n"/>
      <c r="AN54" s="116" t="n"/>
      <c r="AO54" s="116" t="n"/>
      <c r="AP54" s="116" t="n"/>
      <c r="AQ54" s="116" t="n"/>
      <c r="AR54" s="116" t="n"/>
      <c r="AS54" s="116" t="n"/>
      <c r="AT54" s="116" t="n"/>
      <c r="AU54" s="116" t="n"/>
      <c r="AV54" s="116" t="n"/>
      <c r="AX54" s="124">
        <f>WBS!G54</f>
        <v/>
      </c>
      <c r="AY54" s="124">
        <f>WBS!H54</f>
        <v/>
      </c>
      <c r="AZ54" s="123">
        <f>WBS!F54</f>
        <v/>
      </c>
    </row>
    <row r="55" ht="18" customHeight="1">
      <c r="A55" s="123" t="inlineStr">
        <is>
          <t>3.6.5</t>
        </is>
      </c>
      <c r="B55" s="122">
        <f>WBS!C55</f>
        <v/>
      </c>
      <c r="C55" s="123">
        <f>WBS!D55</f>
        <v/>
      </c>
      <c r="D55" s="116" t="n"/>
      <c r="E55" s="116" t="n"/>
      <c r="F55" s="116" t="n"/>
      <c r="G55" s="116" t="n"/>
      <c r="H55" s="116" t="n"/>
      <c r="I55" s="116" t="n"/>
      <c r="J55" s="116" t="n"/>
      <c r="K55" s="116" t="n"/>
      <c r="L55" s="116" t="n"/>
      <c r="M55" s="116" t="n"/>
      <c r="N55" s="116" t="n"/>
      <c r="O55" s="116" t="n"/>
      <c r="P55" s="116" t="n"/>
      <c r="Q55" s="116" t="n"/>
      <c r="R55" s="116" t="n"/>
      <c r="S55" s="116" t="n"/>
      <c r="T55" s="116" t="n"/>
      <c r="U55" s="116" t="n"/>
      <c r="V55" s="116" t="n"/>
      <c r="W55" s="116" t="n"/>
      <c r="X55" s="116" t="n"/>
      <c r="Y55" s="116" t="n"/>
      <c r="Z55" s="116" t="n"/>
      <c r="AA55" s="116" t="n"/>
      <c r="AB55" s="116" t="n"/>
      <c r="AC55" s="116" t="n"/>
      <c r="AD55" s="116" t="n"/>
      <c r="AE55" s="116" t="n"/>
      <c r="AF55" s="116" t="n"/>
      <c r="AG55" s="116" t="n"/>
      <c r="AH55" s="116" t="n"/>
      <c r="AI55" s="116" t="n"/>
      <c r="AJ55" s="116" t="n"/>
      <c r="AK55" s="116" t="n"/>
      <c r="AL55" s="116" t="n"/>
      <c r="AM55" s="116" t="n"/>
      <c r="AN55" s="116" t="n"/>
      <c r="AO55" s="116" t="n"/>
      <c r="AP55" s="116" t="n"/>
      <c r="AQ55" s="116" t="n"/>
      <c r="AR55" s="116" t="n"/>
      <c r="AS55" s="116" t="n"/>
      <c r="AT55" s="116" t="n"/>
      <c r="AU55" s="116" t="n"/>
      <c r="AV55" s="116" t="n"/>
      <c r="AX55" s="124">
        <f>WBS!G55</f>
        <v/>
      </c>
      <c r="AY55" s="124">
        <f>WBS!H55</f>
        <v/>
      </c>
      <c r="AZ55" s="123">
        <f>WBS!F55</f>
        <v/>
      </c>
    </row>
    <row r="56" ht="18" customHeight="1">
      <c r="A56" s="123" t="inlineStr">
        <is>
          <t>3.6.6</t>
        </is>
      </c>
      <c r="B56" s="122">
        <f>WBS!C56</f>
        <v/>
      </c>
      <c r="C56" s="123">
        <f>WBS!D56</f>
        <v/>
      </c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  <c r="S56" s="116" t="n"/>
      <c r="T56" s="116" t="n"/>
      <c r="U56" s="116" t="n"/>
      <c r="V56" s="116" t="n"/>
      <c r="W56" s="116" t="n"/>
      <c r="X56" s="116" t="n"/>
      <c r="Y56" s="116" t="n"/>
      <c r="Z56" s="116" t="n"/>
      <c r="AA56" s="116" t="n"/>
      <c r="AB56" s="116" t="n"/>
      <c r="AC56" s="116" t="n"/>
      <c r="AD56" s="116" t="n"/>
      <c r="AE56" s="116" t="n"/>
      <c r="AF56" s="116" t="n"/>
      <c r="AG56" s="116" t="n"/>
      <c r="AH56" s="116" t="n"/>
      <c r="AI56" s="116" t="n"/>
      <c r="AJ56" s="116" t="n"/>
      <c r="AK56" s="116" t="n"/>
      <c r="AL56" s="116" t="n"/>
      <c r="AM56" s="116" t="n"/>
      <c r="AN56" s="116" t="n"/>
      <c r="AO56" s="116" t="n"/>
      <c r="AP56" s="116" t="n"/>
      <c r="AQ56" s="116" t="n"/>
      <c r="AR56" s="116" t="n"/>
      <c r="AS56" s="116" t="n"/>
      <c r="AT56" s="116" t="n"/>
      <c r="AU56" s="116" t="n"/>
      <c r="AV56" s="116" t="n"/>
      <c r="AX56" s="124">
        <f>WBS!G56</f>
        <v/>
      </c>
      <c r="AY56" s="124">
        <f>WBS!H56</f>
        <v/>
      </c>
      <c r="AZ56" s="123">
        <f>WBS!F56</f>
        <v/>
      </c>
    </row>
    <row r="57" ht="18" customHeight="1">
      <c r="A57" s="123" t="inlineStr">
        <is>
          <t>3.6.7</t>
        </is>
      </c>
      <c r="B57" s="122">
        <f>WBS!C57</f>
        <v/>
      </c>
      <c r="C57" s="123">
        <f>WBS!D57</f>
        <v/>
      </c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  <c r="S57" s="116" t="n"/>
      <c r="T57" s="116" t="n"/>
      <c r="U57" s="116" t="n"/>
      <c r="V57" s="116" t="n"/>
      <c r="W57" s="116" t="n"/>
      <c r="X57" s="116" t="n"/>
      <c r="Y57" s="116" t="n"/>
      <c r="Z57" s="116" t="n"/>
      <c r="AA57" s="116" t="n"/>
      <c r="AB57" s="116" t="n"/>
      <c r="AC57" s="116" t="n"/>
      <c r="AD57" s="116" t="n"/>
      <c r="AE57" s="116" t="n"/>
      <c r="AF57" s="116" t="n"/>
      <c r="AG57" s="116" t="n"/>
      <c r="AH57" s="116" t="n"/>
      <c r="AI57" s="116" t="n"/>
      <c r="AJ57" s="116" t="n"/>
      <c r="AK57" s="116" t="n"/>
      <c r="AL57" s="116" t="n"/>
      <c r="AM57" s="116" t="n"/>
      <c r="AN57" s="116" t="n"/>
      <c r="AO57" s="116" t="n"/>
      <c r="AP57" s="116" t="n"/>
      <c r="AQ57" s="116" t="n"/>
      <c r="AR57" s="116" t="n"/>
      <c r="AS57" s="116" t="n"/>
      <c r="AT57" s="116" t="n"/>
      <c r="AU57" s="116" t="n"/>
      <c r="AV57" s="116" t="n"/>
      <c r="AX57" s="124">
        <f>WBS!G57</f>
        <v/>
      </c>
      <c r="AY57" s="124">
        <f>WBS!H57</f>
        <v/>
      </c>
      <c r="AZ57" s="123">
        <f>WBS!F57</f>
        <v/>
      </c>
    </row>
    <row r="58" ht="18" customHeight="1">
      <c r="A58" s="123" t="inlineStr">
        <is>
          <t>3.6.8</t>
        </is>
      </c>
      <c r="B58" s="122">
        <f>WBS!C58</f>
        <v/>
      </c>
      <c r="C58" s="123">
        <f>WBS!D58</f>
        <v/>
      </c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  <c r="S58" s="116" t="n"/>
      <c r="T58" s="116" t="n"/>
      <c r="U58" s="116" t="n"/>
      <c r="V58" s="116" t="n"/>
      <c r="W58" s="116" t="n"/>
      <c r="X58" s="116" t="n"/>
      <c r="Y58" s="116" t="n"/>
      <c r="Z58" s="116" t="n"/>
      <c r="AA58" s="116" t="n"/>
      <c r="AB58" s="116" t="n"/>
      <c r="AC58" s="116" t="n"/>
      <c r="AD58" s="116" t="n"/>
      <c r="AE58" s="116" t="n"/>
      <c r="AF58" s="116" t="n"/>
      <c r="AG58" s="116" t="n"/>
      <c r="AH58" s="116" t="n"/>
      <c r="AI58" s="116" t="n"/>
      <c r="AJ58" s="116" t="n"/>
      <c r="AK58" s="116" t="n"/>
      <c r="AL58" s="116" t="n"/>
      <c r="AM58" s="116" t="n"/>
      <c r="AN58" s="116" t="n"/>
      <c r="AO58" s="116" t="n"/>
      <c r="AP58" s="116" t="n"/>
      <c r="AQ58" s="116" t="n"/>
      <c r="AR58" s="116" t="n"/>
      <c r="AS58" s="116" t="n"/>
      <c r="AT58" s="116" t="n"/>
      <c r="AU58" s="116" t="n"/>
      <c r="AV58" s="116" t="n"/>
      <c r="AX58" s="124">
        <f>WBS!G58</f>
        <v/>
      </c>
      <c r="AY58" s="124">
        <f>WBS!H58</f>
        <v/>
      </c>
      <c r="AZ58" s="123">
        <f>WBS!F58</f>
        <v/>
      </c>
    </row>
    <row r="59" ht="18" customHeight="1">
      <c r="A59" s="123" t="inlineStr">
        <is>
          <t>3.6.9</t>
        </is>
      </c>
      <c r="B59" s="122">
        <f>WBS!C59</f>
        <v/>
      </c>
      <c r="C59" s="123">
        <f>WBS!D59</f>
        <v/>
      </c>
      <c r="D59" s="116" t="n"/>
      <c r="E59" s="116" t="n"/>
      <c r="F59" s="116" t="n"/>
      <c r="G59" s="116" t="n"/>
      <c r="H59" s="116" t="n"/>
      <c r="I59" s="116" t="n"/>
      <c r="J59" s="116" t="n"/>
      <c r="K59" s="116" t="n"/>
      <c r="L59" s="116" t="n"/>
      <c r="M59" s="116" t="n"/>
      <c r="N59" s="116" t="n"/>
      <c r="O59" s="116" t="n"/>
      <c r="P59" s="116" t="n"/>
      <c r="Q59" s="116" t="n"/>
      <c r="R59" s="116" t="n"/>
      <c r="S59" s="116" t="n"/>
      <c r="T59" s="116" t="n"/>
      <c r="U59" s="116" t="n"/>
      <c r="V59" s="116" t="n"/>
      <c r="W59" s="116" t="n"/>
      <c r="X59" s="116" t="n"/>
      <c r="Y59" s="116" t="n"/>
      <c r="Z59" s="116" t="n"/>
      <c r="AA59" s="116" t="n"/>
      <c r="AB59" s="116" t="n"/>
      <c r="AC59" s="116" t="n"/>
      <c r="AD59" s="116" t="n"/>
      <c r="AE59" s="116" t="n"/>
      <c r="AF59" s="116" t="n"/>
      <c r="AG59" s="116" t="n"/>
      <c r="AH59" s="116" t="n"/>
      <c r="AI59" s="116" t="n"/>
      <c r="AJ59" s="116" t="n"/>
      <c r="AK59" s="116" t="n"/>
      <c r="AL59" s="116" t="n"/>
      <c r="AM59" s="116" t="n"/>
      <c r="AN59" s="116" t="n"/>
      <c r="AO59" s="116" t="n"/>
      <c r="AP59" s="116" t="n"/>
      <c r="AQ59" s="116" t="n"/>
      <c r="AR59" s="116" t="n"/>
      <c r="AS59" s="116" t="n"/>
      <c r="AT59" s="116" t="n"/>
      <c r="AU59" s="116" t="n"/>
      <c r="AV59" s="116" t="n"/>
      <c r="AX59" s="124">
        <f>WBS!G59</f>
        <v/>
      </c>
      <c r="AY59" s="124">
        <f>WBS!H59</f>
        <v/>
      </c>
      <c r="AZ59" s="123">
        <f>WBS!F59</f>
        <v/>
      </c>
    </row>
    <row r="60" ht="18" customHeight="1">
      <c r="A60" s="123" t="inlineStr">
        <is>
          <t>3.6.10</t>
        </is>
      </c>
      <c r="B60" s="122">
        <f>WBS!C60</f>
        <v/>
      </c>
      <c r="C60" s="123">
        <f>WBS!D60</f>
        <v/>
      </c>
      <c r="D60" s="116" t="n"/>
      <c r="E60" s="116" t="n"/>
      <c r="F60" s="116" t="n"/>
      <c r="G60" s="116" t="n"/>
      <c r="H60" s="116" t="n"/>
      <c r="I60" s="116" t="n"/>
      <c r="J60" s="116" t="n"/>
      <c r="K60" s="116" t="n"/>
      <c r="L60" s="116" t="n"/>
      <c r="M60" s="116" t="n"/>
      <c r="N60" s="116" t="n"/>
      <c r="O60" s="116" t="n"/>
      <c r="P60" s="116" t="n"/>
      <c r="Q60" s="116" t="n"/>
      <c r="R60" s="116" t="n"/>
      <c r="S60" s="116" t="n"/>
      <c r="T60" s="116" t="n"/>
      <c r="U60" s="116" t="n"/>
      <c r="V60" s="116" t="n"/>
      <c r="W60" s="116" t="n"/>
      <c r="X60" s="116" t="n"/>
      <c r="Y60" s="116" t="n"/>
      <c r="Z60" s="116" t="n"/>
      <c r="AA60" s="116" t="n"/>
      <c r="AB60" s="116" t="n"/>
      <c r="AC60" s="116" t="n"/>
      <c r="AD60" s="116" t="n"/>
      <c r="AE60" s="116" t="n"/>
      <c r="AF60" s="116" t="n"/>
      <c r="AG60" s="116" t="n"/>
      <c r="AH60" s="116" t="n"/>
      <c r="AI60" s="116" t="n"/>
      <c r="AJ60" s="116" t="n"/>
      <c r="AK60" s="116" t="n"/>
      <c r="AL60" s="116" t="n"/>
      <c r="AM60" s="116" t="n"/>
      <c r="AN60" s="116" t="n"/>
      <c r="AO60" s="116" t="n"/>
      <c r="AP60" s="116" t="n"/>
      <c r="AQ60" s="116" t="n"/>
      <c r="AR60" s="116" t="n"/>
      <c r="AS60" s="116" t="n"/>
      <c r="AT60" s="116" t="n"/>
      <c r="AU60" s="116" t="n"/>
      <c r="AV60" s="116" t="n"/>
      <c r="AX60" s="124">
        <f>WBS!G60</f>
        <v/>
      </c>
      <c r="AY60" s="124">
        <f>WBS!H60</f>
        <v/>
      </c>
      <c r="AZ60" s="123">
        <f>WBS!F60</f>
        <v/>
      </c>
    </row>
    <row r="61" ht="18" customHeight="1">
      <c r="A61" s="113" t="inlineStr">
        <is>
          <t>3.7</t>
        </is>
      </c>
      <c r="B61" s="114">
        <f>WBS!C61</f>
        <v/>
      </c>
      <c r="C61" s="115">
        <f>WBS!D61</f>
        <v/>
      </c>
      <c r="D61" s="116" t="n"/>
      <c r="E61" s="116" t="n"/>
      <c r="F61" s="116" t="n"/>
      <c r="G61" s="116" t="n"/>
      <c r="H61" s="116" t="n"/>
      <c r="I61" s="116" t="n"/>
      <c r="J61" s="116" t="n"/>
      <c r="K61" s="116" t="n"/>
      <c r="L61" s="116" t="n"/>
      <c r="M61" s="116" t="n"/>
      <c r="N61" s="116" t="n"/>
      <c r="O61" s="116" t="n"/>
      <c r="P61" s="116" t="n"/>
      <c r="Q61" s="116" t="n"/>
      <c r="R61" s="116" t="n"/>
      <c r="S61" s="116" t="n"/>
      <c r="T61" s="116" t="n"/>
      <c r="U61" s="116" t="n"/>
      <c r="V61" s="116" t="n"/>
      <c r="W61" s="116" t="n"/>
      <c r="X61" s="116" t="n"/>
      <c r="Y61" s="116" t="n"/>
      <c r="Z61" s="116" t="n"/>
      <c r="AA61" s="116" t="n"/>
      <c r="AB61" s="116" t="n"/>
      <c r="AC61" s="116" t="n"/>
      <c r="AD61" s="116" t="n"/>
      <c r="AE61" s="116" t="n"/>
      <c r="AF61" s="116" t="n"/>
      <c r="AG61" s="116" t="n"/>
      <c r="AH61" s="116" t="n"/>
      <c r="AI61" s="116" t="n"/>
      <c r="AJ61" s="116" t="n"/>
      <c r="AK61" s="116" t="n"/>
      <c r="AL61" s="116" t="n"/>
      <c r="AM61" s="116" t="n"/>
      <c r="AN61" s="116" t="n"/>
      <c r="AO61" s="116" t="n"/>
      <c r="AP61" s="116" t="n"/>
      <c r="AQ61" s="116" t="n"/>
      <c r="AR61" s="116" t="n"/>
      <c r="AS61" s="116" t="n"/>
      <c r="AT61" s="116" t="n"/>
      <c r="AU61" s="116" t="n"/>
      <c r="AV61" s="116" t="n"/>
      <c r="AX61" s="117">
        <f>WBS!G61</f>
        <v/>
      </c>
      <c r="AY61" s="117">
        <f>WBS!H61</f>
        <v/>
      </c>
      <c r="AZ61" s="115">
        <f>WBS!F61</f>
        <v/>
      </c>
    </row>
    <row r="62" ht="18" customHeight="1">
      <c r="A62" s="113" t="inlineStr">
        <is>
          <t>3.8</t>
        </is>
      </c>
      <c r="B62" s="114">
        <f>WBS!C62</f>
        <v/>
      </c>
      <c r="C62" s="115">
        <f>WBS!D62</f>
        <v/>
      </c>
      <c r="D62" s="116" t="n"/>
      <c r="E62" s="116" t="n"/>
      <c r="F62" s="116" t="n"/>
      <c r="G62" s="116" t="n"/>
      <c r="H62" s="116" t="n"/>
      <c r="I62" s="116" t="n"/>
      <c r="J62" s="116" t="n"/>
      <c r="K62" s="116" t="n"/>
      <c r="L62" s="116" t="n"/>
      <c r="M62" s="116" t="n"/>
      <c r="N62" s="116" t="n"/>
      <c r="O62" s="116" t="n"/>
      <c r="P62" s="116" t="n"/>
      <c r="Q62" s="116" t="n"/>
      <c r="R62" s="116" t="n"/>
      <c r="S62" s="116" t="n"/>
      <c r="T62" s="116" t="n"/>
      <c r="U62" s="116" t="n"/>
      <c r="V62" s="116" t="n"/>
      <c r="W62" s="116" t="n"/>
      <c r="X62" s="116" t="n"/>
      <c r="Y62" s="116" t="n"/>
      <c r="Z62" s="116" t="n"/>
      <c r="AA62" s="116" t="n"/>
      <c r="AB62" s="116" t="n"/>
      <c r="AC62" s="116" t="n"/>
      <c r="AD62" s="116" t="n"/>
      <c r="AE62" s="116" t="n"/>
      <c r="AF62" s="116" t="n"/>
      <c r="AG62" s="116" t="n"/>
      <c r="AH62" s="116" t="n"/>
      <c r="AI62" s="116" t="n"/>
      <c r="AJ62" s="116" t="n"/>
      <c r="AK62" s="116" t="n"/>
      <c r="AL62" s="116" t="n"/>
      <c r="AM62" s="116" t="n"/>
      <c r="AN62" s="116" t="n"/>
      <c r="AO62" s="116" t="n"/>
      <c r="AP62" s="116" t="n"/>
      <c r="AQ62" s="116" t="n"/>
      <c r="AR62" s="116" t="n"/>
      <c r="AS62" s="116" t="n"/>
      <c r="AT62" s="116" t="n"/>
      <c r="AU62" s="116" t="n"/>
      <c r="AV62" s="116" t="n"/>
      <c r="AX62" s="117">
        <f>WBS!G62</f>
        <v/>
      </c>
      <c r="AY62" s="117">
        <f>WBS!H62</f>
        <v/>
      </c>
      <c r="AZ62" s="115">
        <f>WBS!F62</f>
        <v/>
      </c>
    </row>
    <row r="63" ht="18" customHeight="1">
      <c r="A63" s="113" t="inlineStr">
        <is>
          <t>3.8.1</t>
        </is>
      </c>
      <c r="B63" s="122">
        <f>WBS!C63</f>
        <v/>
      </c>
      <c r="C63" s="123">
        <f>WBS!D63</f>
        <v/>
      </c>
      <c r="D63" s="116" t="n"/>
      <c r="E63" s="116" t="n"/>
      <c r="F63" s="116" t="n"/>
      <c r="G63" s="116" t="n"/>
      <c r="H63" s="116" t="n"/>
      <c r="I63" s="116" t="n"/>
      <c r="J63" s="116" t="n"/>
      <c r="K63" s="116" t="n"/>
      <c r="L63" s="116" t="n"/>
      <c r="M63" s="116" t="n"/>
      <c r="N63" s="116" t="n"/>
      <c r="O63" s="116" t="n"/>
      <c r="P63" s="116" t="n"/>
      <c r="Q63" s="116" t="n"/>
      <c r="R63" s="116" t="n"/>
      <c r="S63" s="116" t="n"/>
      <c r="T63" s="116" t="n"/>
      <c r="U63" s="116" t="n"/>
      <c r="V63" s="116" t="n"/>
      <c r="W63" s="116" t="n"/>
      <c r="X63" s="116" t="n"/>
      <c r="Y63" s="116" t="n"/>
      <c r="Z63" s="116" t="n"/>
      <c r="AA63" s="116" t="n"/>
      <c r="AB63" s="116" t="n"/>
      <c r="AC63" s="116" t="n"/>
      <c r="AD63" s="116" t="n"/>
      <c r="AE63" s="116" t="n"/>
      <c r="AF63" s="116" t="n"/>
      <c r="AG63" s="116" t="n"/>
      <c r="AH63" s="116" t="n"/>
      <c r="AI63" s="116" t="n"/>
      <c r="AJ63" s="116" t="n"/>
      <c r="AK63" s="116" t="n"/>
      <c r="AL63" s="116" t="n"/>
      <c r="AM63" s="116" t="n"/>
      <c r="AN63" s="116" t="n"/>
      <c r="AO63" s="116" t="n"/>
      <c r="AP63" s="116" t="n"/>
      <c r="AQ63" s="116" t="n"/>
      <c r="AR63" s="116" t="n"/>
      <c r="AS63" s="116" t="n"/>
      <c r="AT63" s="116" t="n"/>
      <c r="AU63" s="116" t="n"/>
      <c r="AV63" s="116" t="n"/>
      <c r="AX63" s="124">
        <f>WBS!G63</f>
        <v/>
      </c>
      <c r="AY63" s="124">
        <f>WBS!H63</f>
        <v/>
      </c>
      <c r="AZ63" s="123">
        <f>WBS!F63</f>
        <v/>
      </c>
    </row>
    <row r="64" ht="18" customHeight="1">
      <c r="A64" s="113" t="inlineStr">
        <is>
          <t>3.8.2</t>
        </is>
      </c>
      <c r="B64" s="122">
        <f>WBS!C64</f>
        <v/>
      </c>
      <c r="C64" s="123">
        <f>WBS!D64</f>
        <v/>
      </c>
      <c r="D64" s="116" t="n"/>
      <c r="E64" s="116" t="n"/>
      <c r="F64" s="116" t="n"/>
      <c r="G64" s="116" t="n"/>
      <c r="H64" s="116" t="n"/>
      <c r="I64" s="116" t="n"/>
      <c r="J64" s="116" t="n"/>
      <c r="K64" s="116" t="n"/>
      <c r="L64" s="116" t="n"/>
      <c r="M64" s="116" t="n"/>
      <c r="N64" s="116" t="n"/>
      <c r="O64" s="116" t="n"/>
      <c r="P64" s="116" t="n"/>
      <c r="Q64" s="116" t="n"/>
      <c r="R64" s="116" t="n"/>
      <c r="S64" s="116" t="n"/>
      <c r="T64" s="116" t="n"/>
      <c r="U64" s="116" t="n"/>
      <c r="V64" s="116" t="n"/>
      <c r="W64" s="116" t="n"/>
      <c r="X64" s="116" t="n"/>
      <c r="Y64" s="116" t="n"/>
      <c r="Z64" s="116" t="n"/>
      <c r="AA64" s="116" t="n"/>
      <c r="AB64" s="116" t="n"/>
      <c r="AC64" s="116" t="n"/>
      <c r="AD64" s="116" t="n"/>
      <c r="AE64" s="116" t="n"/>
      <c r="AF64" s="116" t="n"/>
      <c r="AG64" s="116" t="n"/>
      <c r="AH64" s="116" t="n"/>
      <c r="AI64" s="116" t="n"/>
      <c r="AJ64" s="116" t="n"/>
      <c r="AK64" s="116" t="n"/>
      <c r="AL64" s="116" t="n"/>
      <c r="AM64" s="116" t="n"/>
      <c r="AN64" s="116" t="n"/>
      <c r="AO64" s="116" t="n"/>
      <c r="AP64" s="116" t="n"/>
      <c r="AQ64" s="116" t="n"/>
      <c r="AR64" s="116" t="n"/>
      <c r="AS64" s="116" t="n"/>
      <c r="AT64" s="116" t="n"/>
      <c r="AU64" s="116" t="n"/>
      <c r="AV64" s="116" t="n"/>
      <c r="AX64" s="124">
        <f>WBS!G64</f>
        <v/>
      </c>
      <c r="AY64" s="124">
        <f>WBS!H64</f>
        <v/>
      </c>
      <c r="AZ64" s="123">
        <f>WBS!F64</f>
        <v/>
      </c>
    </row>
    <row r="65" ht="18" customHeight="1">
      <c r="A65" s="113" t="inlineStr">
        <is>
          <t>3.8.3</t>
        </is>
      </c>
      <c r="B65" s="122">
        <f>WBS!C65</f>
        <v/>
      </c>
      <c r="C65" s="123">
        <f>WBS!D65</f>
        <v/>
      </c>
      <c r="D65" s="116" t="n"/>
      <c r="E65" s="116" t="n"/>
      <c r="F65" s="116" t="n"/>
      <c r="G65" s="116" t="n"/>
      <c r="H65" s="116" t="n"/>
      <c r="I65" s="116" t="n"/>
      <c r="J65" s="116" t="n"/>
      <c r="K65" s="116" t="n"/>
      <c r="L65" s="116" t="n"/>
      <c r="M65" s="116" t="n"/>
      <c r="N65" s="116" t="n"/>
      <c r="O65" s="116" t="n"/>
      <c r="P65" s="116" t="n"/>
      <c r="Q65" s="116" t="n"/>
      <c r="R65" s="116" t="n"/>
      <c r="S65" s="116" t="n"/>
      <c r="T65" s="116" t="n"/>
      <c r="U65" s="116" t="n"/>
      <c r="V65" s="116" t="n"/>
      <c r="W65" s="116" t="n"/>
      <c r="X65" s="116" t="n"/>
      <c r="Y65" s="116" t="n"/>
      <c r="Z65" s="116" t="n"/>
      <c r="AA65" s="116" t="n"/>
      <c r="AB65" s="116" t="n"/>
      <c r="AC65" s="116" t="n"/>
      <c r="AD65" s="116" t="n"/>
      <c r="AE65" s="116" t="n"/>
      <c r="AF65" s="116" t="n"/>
      <c r="AG65" s="116" t="n"/>
      <c r="AH65" s="116" t="n"/>
      <c r="AI65" s="116" t="n"/>
      <c r="AJ65" s="116" t="n"/>
      <c r="AK65" s="116" t="n"/>
      <c r="AL65" s="116" t="n"/>
      <c r="AM65" s="116" t="n"/>
      <c r="AN65" s="116" t="n"/>
      <c r="AO65" s="116" t="n"/>
      <c r="AP65" s="116" t="n"/>
      <c r="AQ65" s="116" t="n"/>
      <c r="AR65" s="116" t="n"/>
      <c r="AS65" s="116" t="n"/>
      <c r="AT65" s="116" t="n"/>
      <c r="AU65" s="116" t="n"/>
      <c r="AV65" s="116" t="n"/>
      <c r="AX65" s="124">
        <f>WBS!G65</f>
        <v/>
      </c>
      <c r="AY65" s="124">
        <f>WBS!H65</f>
        <v/>
      </c>
      <c r="AZ65" s="123">
        <f>WBS!F65</f>
        <v/>
      </c>
    </row>
    <row r="66" ht="18" customHeight="1">
      <c r="A66" s="113" t="inlineStr">
        <is>
          <t>3.8.4</t>
        </is>
      </c>
      <c r="B66" s="122">
        <f>WBS!C66</f>
        <v/>
      </c>
      <c r="C66" s="123">
        <f>WBS!D66</f>
        <v/>
      </c>
      <c r="D66" s="116" t="n"/>
      <c r="E66" s="116" t="n"/>
      <c r="F66" s="116" t="n"/>
      <c r="G66" s="116" t="n"/>
      <c r="H66" s="116" t="n"/>
      <c r="I66" s="116" t="n"/>
      <c r="J66" s="116" t="n"/>
      <c r="K66" s="116" t="n"/>
      <c r="L66" s="116" t="n"/>
      <c r="M66" s="116" t="n"/>
      <c r="N66" s="116" t="n"/>
      <c r="O66" s="116" t="n"/>
      <c r="P66" s="116" t="n"/>
      <c r="Q66" s="116" t="n"/>
      <c r="R66" s="116" t="n"/>
      <c r="S66" s="116" t="n"/>
      <c r="T66" s="116" t="n"/>
      <c r="U66" s="116" t="n"/>
      <c r="V66" s="116" t="n"/>
      <c r="W66" s="116" t="n"/>
      <c r="X66" s="116" t="n"/>
      <c r="Y66" s="116" t="n"/>
      <c r="Z66" s="116" t="n"/>
      <c r="AA66" s="116" t="n"/>
      <c r="AB66" s="116" t="n"/>
      <c r="AC66" s="116" t="n"/>
      <c r="AD66" s="116" t="n"/>
      <c r="AE66" s="116" t="n"/>
      <c r="AF66" s="116" t="n"/>
      <c r="AG66" s="116" t="n"/>
      <c r="AH66" s="116" t="n"/>
      <c r="AI66" s="116" t="n"/>
      <c r="AJ66" s="116" t="n"/>
      <c r="AK66" s="116" t="n"/>
      <c r="AL66" s="116" t="n"/>
      <c r="AM66" s="116" t="n"/>
      <c r="AN66" s="116" t="n"/>
      <c r="AO66" s="116" t="n"/>
      <c r="AP66" s="116" t="n"/>
      <c r="AQ66" s="116" t="n"/>
      <c r="AR66" s="116" t="n"/>
      <c r="AS66" s="116" t="n"/>
      <c r="AT66" s="116" t="n"/>
      <c r="AU66" s="116" t="n"/>
      <c r="AV66" s="116" t="n"/>
      <c r="AX66" s="124">
        <f>WBS!G66</f>
        <v/>
      </c>
      <c r="AY66" s="124">
        <f>WBS!H66</f>
        <v/>
      </c>
      <c r="AZ66" s="123">
        <f>WBS!F66</f>
        <v/>
      </c>
    </row>
    <row r="67" ht="18" customHeight="1">
      <c r="A67" s="115" t="inlineStr">
        <is>
          <t>3.9</t>
        </is>
      </c>
      <c r="B67" s="114">
        <f>WBS!C67</f>
        <v/>
      </c>
      <c r="C67" s="115">
        <f>WBS!D67</f>
        <v/>
      </c>
      <c r="D67" s="116" t="n"/>
      <c r="E67" s="116" t="n"/>
      <c r="F67" s="116" t="n"/>
      <c r="G67" s="116" t="n"/>
      <c r="H67" s="116" t="n"/>
      <c r="I67" s="116" t="n"/>
      <c r="J67" s="116" t="n"/>
      <c r="K67" s="116" t="n"/>
      <c r="L67" s="116" t="n"/>
      <c r="M67" s="116" t="n"/>
      <c r="N67" s="116" t="n"/>
      <c r="O67" s="116" t="n"/>
      <c r="P67" s="116" t="n"/>
      <c r="Q67" s="116" t="n"/>
      <c r="R67" s="116" t="n"/>
      <c r="S67" s="116" t="n"/>
      <c r="T67" s="116" t="n"/>
      <c r="U67" s="116" t="n"/>
      <c r="V67" s="116" t="n"/>
      <c r="W67" s="116" t="n"/>
      <c r="X67" s="116" t="n"/>
      <c r="Y67" s="116" t="n"/>
      <c r="Z67" s="116" t="n"/>
      <c r="AA67" s="116" t="n"/>
      <c r="AB67" s="116" t="n"/>
      <c r="AC67" s="116" t="n"/>
      <c r="AD67" s="116" t="n"/>
      <c r="AE67" s="116" t="n"/>
      <c r="AF67" s="116" t="n"/>
      <c r="AG67" s="116" t="n"/>
      <c r="AH67" s="116" t="n"/>
      <c r="AI67" s="116" t="n"/>
      <c r="AJ67" s="116" t="n"/>
      <c r="AK67" s="116" t="n"/>
      <c r="AL67" s="116" t="n"/>
      <c r="AM67" s="116" t="n"/>
      <c r="AN67" s="116" t="n"/>
      <c r="AO67" s="116" t="n"/>
      <c r="AP67" s="116" t="n"/>
      <c r="AQ67" s="116" t="n"/>
      <c r="AR67" s="116" t="n"/>
      <c r="AS67" s="116" t="n"/>
      <c r="AT67" s="116" t="n"/>
      <c r="AU67" s="116" t="n"/>
      <c r="AV67" s="116" t="n"/>
      <c r="AX67" s="117">
        <f>WBS!G67</f>
        <v/>
      </c>
      <c r="AY67" s="117">
        <f>WBS!H67</f>
        <v/>
      </c>
      <c r="AZ67" s="115">
        <f>WBS!F67</f>
        <v/>
      </c>
    </row>
    <row r="68" ht="18" customHeight="1">
      <c r="A68" s="115" t="inlineStr">
        <is>
          <t>3.10</t>
        </is>
      </c>
      <c r="B68" s="114">
        <f>WBS!C68</f>
        <v/>
      </c>
      <c r="C68" s="115">
        <f>WBS!D68</f>
        <v/>
      </c>
      <c r="D68" s="116" t="n"/>
      <c r="E68" s="116" t="n"/>
      <c r="F68" s="116" t="n"/>
      <c r="G68" s="116" t="n"/>
      <c r="H68" s="116" t="n"/>
      <c r="I68" s="116" t="n"/>
      <c r="J68" s="116" t="n"/>
      <c r="K68" s="116" t="n"/>
      <c r="L68" s="116" t="n"/>
      <c r="M68" s="116" t="n"/>
      <c r="N68" s="116" t="n"/>
      <c r="O68" s="116" t="n"/>
      <c r="P68" s="116" t="n"/>
      <c r="Q68" s="116" t="n"/>
      <c r="R68" s="116" t="n"/>
      <c r="S68" s="116" t="n"/>
      <c r="T68" s="116" t="n"/>
      <c r="U68" s="116" t="n"/>
      <c r="V68" s="116" t="n"/>
      <c r="W68" s="116" t="n"/>
      <c r="X68" s="116" t="n"/>
      <c r="Y68" s="116" t="n"/>
      <c r="Z68" s="116" t="n"/>
      <c r="AA68" s="116" t="n"/>
      <c r="AB68" s="116" t="n"/>
      <c r="AC68" s="116" t="n"/>
      <c r="AD68" s="116" t="n"/>
      <c r="AE68" s="116" t="n"/>
      <c r="AF68" s="116" t="n"/>
      <c r="AG68" s="116" t="n"/>
      <c r="AH68" s="116" t="n"/>
      <c r="AI68" s="116" t="n"/>
      <c r="AJ68" s="116" t="n"/>
      <c r="AK68" s="116" t="n"/>
      <c r="AL68" s="116" t="n"/>
      <c r="AM68" s="116" t="n"/>
      <c r="AN68" s="116" t="n"/>
      <c r="AO68" s="116" t="n"/>
      <c r="AP68" s="116" t="n"/>
      <c r="AQ68" s="116" t="n"/>
      <c r="AR68" s="116" t="n"/>
      <c r="AS68" s="116" t="n"/>
      <c r="AT68" s="116" t="n"/>
      <c r="AU68" s="116" t="n"/>
      <c r="AV68" s="116" t="n"/>
      <c r="AX68" s="117">
        <f>WBS!G68</f>
        <v/>
      </c>
      <c r="AY68" s="117">
        <f>WBS!H68</f>
        <v/>
      </c>
      <c r="AZ68" s="115">
        <f>WBS!F68</f>
        <v/>
      </c>
    </row>
    <row r="69" ht="18" customHeight="1">
      <c r="A69" s="115" t="inlineStr">
        <is>
          <t>3.11</t>
        </is>
      </c>
      <c r="B69" s="114">
        <f>WBS!C69</f>
        <v/>
      </c>
      <c r="C69" s="115">
        <f>WBS!D69</f>
        <v/>
      </c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  <c r="Q69" s="116" t="n"/>
      <c r="R69" s="116" t="n"/>
      <c r="S69" s="116" t="n"/>
      <c r="T69" s="116" t="n"/>
      <c r="U69" s="116" t="n"/>
      <c r="V69" s="116" t="n"/>
      <c r="W69" s="116" t="n"/>
      <c r="X69" s="116" t="n"/>
      <c r="Y69" s="116" t="n"/>
      <c r="Z69" s="116" t="n"/>
      <c r="AA69" s="116" t="n"/>
      <c r="AB69" s="116" t="n"/>
      <c r="AC69" s="116" t="n"/>
      <c r="AD69" s="116" t="n"/>
      <c r="AE69" s="116" t="n"/>
      <c r="AF69" s="116" t="n"/>
      <c r="AG69" s="116" t="n"/>
      <c r="AH69" s="116" t="n"/>
      <c r="AI69" s="116" t="n"/>
      <c r="AJ69" s="116" t="n"/>
      <c r="AK69" s="116" t="n"/>
      <c r="AL69" s="116" t="n"/>
      <c r="AM69" s="116" t="n"/>
      <c r="AN69" s="116" t="n"/>
      <c r="AO69" s="116" t="n"/>
      <c r="AP69" s="116" t="n"/>
      <c r="AQ69" s="116" t="n"/>
      <c r="AR69" s="116" t="n"/>
      <c r="AS69" s="116" t="n"/>
      <c r="AT69" s="116" t="n"/>
      <c r="AU69" s="116" t="n"/>
      <c r="AV69" s="116" t="n"/>
      <c r="AX69" s="117">
        <f>WBS!G69</f>
        <v/>
      </c>
      <c r="AY69" s="117">
        <f>WBS!H69</f>
        <v/>
      </c>
      <c r="AZ69" s="115">
        <f>WBS!F69</f>
        <v/>
      </c>
    </row>
    <row r="70" ht="18" customHeight="1">
      <c r="A70" s="118" t="inlineStr">
        <is>
          <t>4.0</t>
        </is>
      </c>
      <c r="B70" s="119">
        <f>WBS!C70</f>
        <v/>
      </c>
      <c r="C70" s="118">
        <f>WBS!D70</f>
        <v/>
      </c>
      <c r="D70" s="120" t="n"/>
      <c r="E70" s="120" t="n"/>
      <c r="F70" s="120" t="n"/>
      <c r="G70" s="120" t="n"/>
      <c r="H70" s="120" t="n"/>
      <c r="I70" s="120" t="n"/>
      <c r="J70" s="120" t="n"/>
      <c r="K70" s="120" t="n"/>
      <c r="L70" s="120" t="n"/>
      <c r="M70" s="120" t="n"/>
      <c r="N70" s="120" t="n"/>
      <c r="O70" s="120" t="n"/>
      <c r="P70" s="120" t="n"/>
      <c r="Q70" s="120" t="n"/>
      <c r="R70" s="120" t="n"/>
      <c r="S70" s="120" t="n"/>
      <c r="T70" s="120" t="n"/>
      <c r="U70" s="120" t="n"/>
      <c r="V70" s="120" t="n"/>
      <c r="W70" s="120" t="n"/>
      <c r="X70" s="120" t="n"/>
      <c r="Y70" s="120" t="n"/>
      <c r="Z70" s="120" t="n"/>
      <c r="AA70" s="120" t="n"/>
      <c r="AB70" s="120" t="n"/>
      <c r="AC70" s="120" t="n"/>
      <c r="AD70" s="120" t="n"/>
      <c r="AE70" s="120" t="n"/>
      <c r="AF70" s="120" t="n"/>
      <c r="AG70" s="120" t="n"/>
      <c r="AH70" s="120" t="n"/>
      <c r="AI70" s="120" t="n"/>
      <c r="AJ70" s="120" t="n"/>
      <c r="AK70" s="120" t="n"/>
      <c r="AL70" s="120" t="n"/>
      <c r="AM70" s="120" t="n"/>
      <c r="AN70" s="120" t="n"/>
      <c r="AO70" s="120" t="n"/>
      <c r="AP70" s="120" t="n"/>
      <c r="AQ70" s="120" t="n"/>
      <c r="AR70" s="120" t="n"/>
      <c r="AS70" s="120" t="n"/>
      <c r="AT70" s="120" t="n"/>
      <c r="AU70" s="120" t="n"/>
      <c r="AV70" s="120" t="n"/>
      <c r="AX70" s="121">
        <f>WBS!G70</f>
        <v/>
      </c>
      <c r="AY70" s="121">
        <f>WBS!H70</f>
        <v/>
      </c>
      <c r="AZ70" s="118">
        <f>WBS!F70</f>
        <v/>
      </c>
    </row>
    <row r="71" ht="18" customHeight="1">
      <c r="A71" s="115" t="inlineStr">
        <is>
          <t>4.1</t>
        </is>
      </c>
      <c r="B71" s="114">
        <f>WBS!C71</f>
        <v/>
      </c>
      <c r="C71" s="115">
        <f>WBS!D71</f>
        <v/>
      </c>
      <c r="D71" s="116" t="n"/>
      <c r="E71" s="116" t="n"/>
      <c r="F71" s="116" t="n"/>
      <c r="G71" s="116" t="n"/>
      <c r="H71" s="116" t="n"/>
      <c r="I71" s="116" t="n"/>
      <c r="J71" s="116" t="n"/>
      <c r="K71" s="116" t="n"/>
      <c r="L71" s="116" t="n"/>
      <c r="M71" s="116" t="n"/>
      <c r="N71" s="116" t="n"/>
      <c r="O71" s="116" t="n"/>
      <c r="P71" s="116" t="n"/>
      <c r="Q71" s="116" t="n"/>
      <c r="R71" s="116" t="n"/>
      <c r="S71" s="116" t="n"/>
      <c r="T71" s="116" t="n"/>
      <c r="U71" s="116" t="n"/>
      <c r="V71" s="116" t="n"/>
      <c r="W71" s="116" t="n"/>
      <c r="X71" s="116" t="n"/>
      <c r="Y71" s="116" t="n"/>
      <c r="Z71" s="116" t="n"/>
      <c r="AA71" s="116" t="n"/>
      <c r="AB71" s="116" t="n"/>
      <c r="AC71" s="116" t="n"/>
      <c r="AD71" s="116" t="n"/>
      <c r="AE71" s="116" t="n"/>
      <c r="AF71" s="116" t="n"/>
      <c r="AG71" s="116" t="n"/>
      <c r="AH71" s="116" t="n"/>
      <c r="AI71" s="116" t="n"/>
      <c r="AJ71" s="116" t="n"/>
      <c r="AK71" s="116" t="n"/>
      <c r="AL71" s="116" t="n"/>
      <c r="AM71" s="116" t="n"/>
      <c r="AN71" s="116" t="n"/>
      <c r="AO71" s="116" t="n"/>
      <c r="AP71" s="116" t="n"/>
      <c r="AQ71" s="116" t="n"/>
      <c r="AR71" s="116" t="n"/>
      <c r="AS71" s="116" t="n"/>
      <c r="AT71" s="116" t="n"/>
      <c r="AU71" s="116" t="n"/>
      <c r="AV71" s="116" t="n"/>
      <c r="AX71" s="117">
        <f>WBS!G71</f>
        <v/>
      </c>
      <c r="AY71" s="117">
        <f>WBS!H71</f>
        <v/>
      </c>
      <c r="AZ71" s="115">
        <f>WBS!F71</f>
        <v/>
      </c>
    </row>
    <row r="72" ht="18" customHeight="1">
      <c r="A72" s="113" t="inlineStr">
        <is>
          <t>4.2</t>
        </is>
      </c>
      <c r="B72" s="114">
        <f>WBS!C72</f>
        <v/>
      </c>
      <c r="C72" s="115">
        <f>WBS!D72</f>
        <v/>
      </c>
      <c r="D72" s="116" t="n"/>
      <c r="E72" s="116" t="n"/>
      <c r="F72" s="116" t="n"/>
      <c r="G72" s="116" t="n"/>
      <c r="H72" s="116" t="n"/>
      <c r="I72" s="116" t="n"/>
      <c r="J72" s="116" t="n"/>
      <c r="K72" s="116" t="n"/>
      <c r="L72" s="116" t="n"/>
      <c r="M72" s="116" t="n"/>
      <c r="N72" s="116" t="n"/>
      <c r="O72" s="116" t="n"/>
      <c r="P72" s="116" t="n"/>
      <c r="Q72" s="116" t="n"/>
      <c r="R72" s="116" t="n"/>
      <c r="S72" s="116" t="n"/>
      <c r="T72" s="116" t="n"/>
      <c r="U72" s="116" t="n"/>
      <c r="V72" s="116" t="n"/>
      <c r="W72" s="116" t="n"/>
      <c r="X72" s="116" t="n"/>
      <c r="Y72" s="116" t="n"/>
      <c r="Z72" s="116" t="n"/>
      <c r="AA72" s="116" t="n"/>
      <c r="AB72" s="116" t="n"/>
      <c r="AC72" s="116" t="n"/>
      <c r="AD72" s="116" t="n"/>
      <c r="AE72" s="116" t="n"/>
      <c r="AF72" s="116" t="n"/>
      <c r="AG72" s="116" t="n"/>
      <c r="AH72" s="116" t="n"/>
      <c r="AI72" s="116" t="n"/>
      <c r="AJ72" s="116" t="n"/>
      <c r="AK72" s="116" t="n"/>
      <c r="AL72" s="116" t="n"/>
      <c r="AM72" s="116" t="n"/>
      <c r="AN72" s="116" t="n"/>
      <c r="AO72" s="116" t="n"/>
      <c r="AP72" s="116" t="n"/>
      <c r="AQ72" s="116" t="n"/>
      <c r="AR72" s="116" t="n"/>
      <c r="AS72" s="116" t="n"/>
      <c r="AT72" s="116" t="n"/>
      <c r="AU72" s="116" t="n"/>
      <c r="AV72" s="116" t="n"/>
      <c r="AX72" s="117">
        <f>WBS!G72</f>
        <v/>
      </c>
      <c r="AY72" s="117">
        <f>WBS!H72</f>
        <v/>
      </c>
      <c r="AZ72" s="115">
        <f>WBS!F72</f>
        <v/>
      </c>
    </row>
    <row r="73" ht="18" customHeight="1">
      <c r="A73" s="113" t="inlineStr">
        <is>
          <t>4.3</t>
        </is>
      </c>
      <c r="B73" s="114">
        <f>WBS!C73</f>
        <v/>
      </c>
      <c r="C73" s="115">
        <f>WBS!D73</f>
        <v/>
      </c>
      <c r="D73" s="116" t="n"/>
      <c r="E73" s="116" t="n"/>
      <c r="F73" s="116" t="n"/>
      <c r="G73" s="116" t="n"/>
      <c r="H73" s="116" t="n"/>
      <c r="I73" s="116" t="n"/>
      <c r="J73" s="116" t="n"/>
      <c r="K73" s="116" t="n"/>
      <c r="L73" s="116" t="n"/>
      <c r="M73" s="116" t="n"/>
      <c r="N73" s="116" t="n"/>
      <c r="O73" s="116" t="n"/>
      <c r="P73" s="116" t="n"/>
      <c r="Q73" s="116" t="n"/>
      <c r="R73" s="116" t="n"/>
      <c r="S73" s="116" t="n"/>
      <c r="T73" s="116" t="n"/>
      <c r="U73" s="116" t="n"/>
      <c r="V73" s="116" t="n"/>
      <c r="W73" s="116" t="n"/>
      <c r="X73" s="116" t="n"/>
      <c r="Y73" s="116" t="n"/>
      <c r="Z73" s="116" t="n"/>
      <c r="AA73" s="116" t="n"/>
      <c r="AB73" s="116" t="n"/>
      <c r="AC73" s="116" t="n"/>
      <c r="AD73" s="116" t="n"/>
      <c r="AE73" s="116" t="n"/>
      <c r="AF73" s="116" t="n"/>
      <c r="AG73" s="116" t="n"/>
      <c r="AH73" s="116" t="n"/>
      <c r="AI73" s="116" t="n"/>
      <c r="AJ73" s="116" t="n"/>
      <c r="AK73" s="116" t="n"/>
      <c r="AL73" s="116" t="n"/>
      <c r="AM73" s="116" t="n"/>
      <c r="AN73" s="116" t="n"/>
      <c r="AO73" s="116" t="n"/>
      <c r="AP73" s="116" t="n"/>
      <c r="AQ73" s="116" t="n"/>
      <c r="AR73" s="116" t="n"/>
      <c r="AS73" s="116" t="n"/>
      <c r="AT73" s="116" t="n"/>
      <c r="AU73" s="116" t="n"/>
      <c r="AV73" s="116" t="n"/>
      <c r="AX73" s="117">
        <f>WBS!G73</f>
        <v/>
      </c>
      <c r="AY73" s="117">
        <f>WBS!H73</f>
        <v/>
      </c>
      <c r="AZ73" s="115">
        <f>WBS!F73</f>
        <v/>
      </c>
    </row>
    <row r="74" ht="18" customHeight="1">
      <c r="A74" s="113" t="inlineStr">
        <is>
          <t>4.4</t>
        </is>
      </c>
      <c r="B74" s="114">
        <f>WBS!C74</f>
        <v/>
      </c>
      <c r="C74" s="115">
        <f>WBS!D74</f>
        <v/>
      </c>
      <c r="D74" s="116" t="n"/>
      <c r="E74" s="116" t="n"/>
      <c r="F74" s="116" t="n"/>
      <c r="G74" s="116" t="n"/>
      <c r="H74" s="116" t="n"/>
      <c r="I74" s="116" t="n"/>
      <c r="J74" s="116" t="n"/>
      <c r="K74" s="116" t="n"/>
      <c r="L74" s="116" t="n"/>
      <c r="M74" s="116" t="n"/>
      <c r="N74" s="116" t="n"/>
      <c r="O74" s="116" t="n"/>
      <c r="P74" s="116" t="n"/>
      <c r="Q74" s="116" t="n"/>
      <c r="R74" s="116" t="n"/>
      <c r="S74" s="116" t="n"/>
      <c r="T74" s="116" t="n"/>
      <c r="U74" s="116" t="n"/>
      <c r="V74" s="116" t="n"/>
      <c r="W74" s="116" t="n"/>
      <c r="X74" s="116" t="n"/>
      <c r="Y74" s="116" t="n"/>
      <c r="Z74" s="116" t="n"/>
      <c r="AA74" s="116" t="n"/>
      <c r="AB74" s="116" t="n"/>
      <c r="AC74" s="116" t="n"/>
      <c r="AD74" s="116" t="n"/>
      <c r="AE74" s="116" t="n"/>
      <c r="AF74" s="116" t="n"/>
      <c r="AG74" s="116" t="n"/>
      <c r="AH74" s="116" t="n"/>
      <c r="AI74" s="116" t="n"/>
      <c r="AJ74" s="116" t="n"/>
      <c r="AK74" s="116" t="n"/>
      <c r="AL74" s="116" t="n"/>
      <c r="AM74" s="116" t="n"/>
      <c r="AN74" s="116" t="n"/>
      <c r="AO74" s="116" t="n"/>
      <c r="AP74" s="116" t="n"/>
      <c r="AQ74" s="116" t="n"/>
      <c r="AR74" s="116" t="n"/>
      <c r="AS74" s="116" t="n"/>
      <c r="AT74" s="116" t="n"/>
      <c r="AU74" s="116" t="n"/>
      <c r="AV74" s="116" t="n"/>
      <c r="AX74" s="117">
        <f>WBS!G74</f>
        <v/>
      </c>
      <c r="AY74" s="117">
        <f>WBS!H74</f>
        <v/>
      </c>
      <c r="AZ74" s="115">
        <f>WBS!F74</f>
        <v/>
      </c>
    </row>
    <row r="75" ht="18" customHeight="1">
      <c r="A75" s="115" t="inlineStr">
        <is>
          <t>4.5</t>
        </is>
      </c>
      <c r="B75" s="114">
        <f>WBS!C75</f>
        <v/>
      </c>
      <c r="C75" s="115">
        <f>WBS!D75</f>
        <v/>
      </c>
      <c r="D75" s="116" t="n"/>
      <c r="E75" s="116" t="n"/>
      <c r="F75" s="116" t="n"/>
      <c r="G75" s="116" t="n"/>
      <c r="H75" s="116" t="n"/>
      <c r="I75" s="116" t="n"/>
      <c r="J75" s="116" t="n"/>
      <c r="K75" s="116" t="n"/>
      <c r="L75" s="116" t="n"/>
      <c r="M75" s="116" t="n"/>
      <c r="N75" s="116" t="n"/>
      <c r="O75" s="116" t="n"/>
      <c r="P75" s="116" t="n"/>
      <c r="Q75" s="116" t="n"/>
      <c r="R75" s="116" t="n"/>
      <c r="S75" s="116" t="n"/>
      <c r="T75" s="116" t="n"/>
      <c r="U75" s="116" t="n"/>
      <c r="V75" s="116" t="n"/>
      <c r="W75" s="116" t="n"/>
      <c r="X75" s="116" t="n"/>
      <c r="Y75" s="116" t="n"/>
      <c r="Z75" s="116" t="n"/>
      <c r="AA75" s="116" t="n"/>
      <c r="AB75" s="116" t="n"/>
      <c r="AC75" s="116" t="n"/>
      <c r="AD75" s="116" t="n"/>
      <c r="AE75" s="116" t="n"/>
      <c r="AF75" s="116" t="n"/>
      <c r="AG75" s="116" t="n"/>
      <c r="AH75" s="116" t="n"/>
      <c r="AI75" s="116" t="n"/>
      <c r="AJ75" s="116" t="n"/>
      <c r="AK75" s="116" t="n"/>
      <c r="AL75" s="116" t="n"/>
      <c r="AM75" s="116" t="n"/>
      <c r="AN75" s="116" t="n"/>
      <c r="AO75" s="116" t="n"/>
      <c r="AP75" s="116" t="n"/>
      <c r="AQ75" s="116" t="n"/>
      <c r="AR75" s="116" t="n"/>
      <c r="AS75" s="116" t="n"/>
      <c r="AT75" s="116" t="n"/>
      <c r="AU75" s="116" t="n"/>
      <c r="AV75" s="116" t="n"/>
      <c r="AX75" s="117">
        <f>WBS!G75</f>
        <v/>
      </c>
      <c r="AY75" s="117">
        <f>WBS!H75</f>
        <v/>
      </c>
      <c r="AZ75" s="115">
        <f>WBS!F75</f>
        <v/>
      </c>
    </row>
    <row r="76" ht="18" customHeight="1">
      <c r="A76" s="113" t="inlineStr">
        <is>
          <t>4.6</t>
        </is>
      </c>
      <c r="B76" s="114">
        <f>WBS!C76</f>
        <v/>
      </c>
      <c r="C76" s="115">
        <f>WBS!D76</f>
        <v/>
      </c>
      <c r="D76" s="116" t="n"/>
      <c r="E76" s="116" t="n"/>
      <c r="F76" s="116" t="n"/>
      <c r="G76" s="116" t="n"/>
      <c r="H76" s="116" t="n"/>
      <c r="I76" s="116" t="n"/>
      <c r="J76" s="116" t="n"/>
      <c r="K76" s="116" t="n"/>
      <c r="L76" s="116" t="n"/>
      <c r="M76" s="116" t="n"/>
      <c r="N76" s="116" t="n"/>
      <c r="O76" s="116" t="n"/>
      <c r="P76" s="116" t="n"/>
      <c r="Q76" s="116" t="n"/>
      <c r="R76" s="116" t="n"/>
      <c r="S76" s="116" t="n"/>
      <c r="T76" s="116" t="n"/>
      <c r="U76" s="116" t="n"/>
      <c r="V76" s="116" t="n"/>
      <c r="W76" s="116" t="n"/>
      <c r="X76" s="116" t="n"/>
      <c r="Y76" s="116" t="n"/>
      <c r="Z76" s="116" t="n"/>
      <c r="AA76" s="116" t="n"/>
      <c r="AB76" s="116" t="n"/>
      <c r="AC76" s="116" t="n"/>
      <c r="AD76" s="116" t="n"/>
      <c r="AE76" s="116" t="n"/>
      <c r="AF76" s="116" t="n"/>
      <c r="AG76" s="116" t="n"/>
      <c r="AH76" s="116" t="n"/>
      <c r="AI76" s="116" t="n"/>
      <c r="AJ76" s="116" t="n"/>
      <c r="AK76" s="116" t="n"/>
      <c r="AL76" s="116" t="n"/>
      <c r="AM76" s="116" t="n"/>
      <c r="AN76" s="116" t="n"/>
      <c r="AO76" s="116" t="n"/>
      <c r="AP76" s="116" t="n"/>
      <c r="AQ76" s="116" t="n"/>
      <c r="AR76" s="116" t="n"/>
      <c r="AS76" s="116" t="n"/>
      <c r="AT76" s="116" t="n"/>
      <c r="AU76" s="116" t="n"/>
      <c r="AV76" s="116" t="n"/>
      <c r="AX76" s="117">
        <f>WBS!G76</f>
        <v/>
      </c>
      <c r="AY76" s="117">
        <f>WBS!H76</f>
        <v/>
      </c>
      <c r="AZ76" s="115">
        <f>WBS!F76</f>
        <v/>
      </c>
    </row>
    <row r="77" ht="18" customHeight="1">
      <c r="A77" s="118" t="inlineStr">
        <is>
          <t>5.0</t>
        </is>
      </c>
      <c r="B77" s="119">
        <f>WBS!C77</f>
        <v/>
      </c>
      <c r="C77" s="118">
        <f>WBS!D77</f>
        <v/>
      </c>
      <c r="D77" s="120" t="n"/>
      <c r="E77" s="120" t="n"/>
      <c r="F77" s="120" t="n"/>
      <c r="G77" s="120" t="n"/>
      <c r="H77" s="120" t="n"/>
      <c r="I77" s="120" t="n"/>
      <c r="J77" s="120" t="n"/>
      <c r="K77" s="120" t="n"/>
      <c r="L77" s="120" t="n"/>
      <c r="M77" s="120" t="n"/>
      <c r="N77" s="120" t="n"/>
      <c r="O77" s="120" t="n"/>
      <c r="P77" s="120" t="n"/>
      <c r="Q77" s="120" t="n"/>
      <c r="R77" s="120" t="n"/>
      <c r="S77" s="120" t="n"/>
      <c r="T77" s="120" t="n"/>
      <c r="U77" s="120" t="n"/>
      <c r="V77" s="120" t="n"/>
      <c r="W77" s="120" t="n"/>
      <c r="X77" s="120" t="n"/>
      <c r="Y77" s="120" t="n"/>
      <c r="Z77" s="120" t="n"/>
      <c r="AA77" s="120" t="n"/>
      <c r="AB77" s="120" t="n"/>
      <c r="AC77" s="120" t="n"/>
      <c r="AD77" s="120" t="n"/>
      <c r="AE77" s="120" t="n"/>
      <c r="AF77" s="120" t="n"/>
      <c r="AG77" s="120" t="n"/>
      <c r="AH77" s="120" t="n"/>
      <c r="AI77" s="120" t="n"/>
      <c r="AJ77" s="120" t="n"/>
      <c r="AK77" s="120" t="n"/>
      <c r="AL77" s="120" t="n"/>
      <c r="AM77" s="120" t="n"/>
      <c r="AN77" s="120" t="n"/>
      <c r="AO77" s="120" t="n"/>
      <c r="AP77" s="120" t="n"/>
      <c r="AQ77" s="120" t="n"/>
      <c r="AR77" s="120" t="n"/>
      <c r="AS77" s="120" t="n"/>
      <c r="AT77" s="120" t="n"/>
      <c r="AU77" s="120" t="n"/>
      <c r="AV77" s="120" t="n"/>
      <c r="AX77" s="121">
        <f>WBS!G77</f>
        <v/>
      </c>
      <c r="AY77" s="121">
        <f>WBS!H77</f>
        <v/>
      </c>
      <c r="AZ77" s="118">
        <f>WBS!F77</f>
        <v/>
      </c>
    </row>
    <row r="78" ht="18" customHeight="1">
      <c r="A78" s="115" t="inlineStr">
        <is>
          <t>5.1</t>
        </is>
      </c>
      <c r="B78" s="114">
        <f>WBS!C78</f>
        <v/>
      </c>
      <c r="C78" s="115">
        <f>WBS!D78</f>
        <v/>
      </c>
      <c r="D78" s="116" t="n"/>
      <c r="E78" s="116" t="n"/>
      <c r="F78" s="116" t="n"/>
      <c r="G78" s="116" t="n"/>
      <c r="H78" s="116" t="n"/>
      <c r="I78" s="116" t="n"/>
      <c r="J78" s="116" t="n"/>
      <c r="K78" s="116" t="n"/>
      <c r="L78" s="116" t="n"/>
      <c r="M78" s="116" t="n"/>
      <c r="N78" s="116" t="n"/>
      <c r="O78" s="116" t="n"/>
      <c r="P78" s="116" t="n"/>
      <c r="Q78" s="116" t="n"/>
      <c r="R78" s="116" t="n"/>
      <c r="S78" s="116" t="n"/>
      <c r="T78" s="116" t="n"/>
      <c r="U78" s="116" t="n"/>
      <c r="V78" s="116" t="n"/>
      <c r="W78" s="116" t="n"/>
      <c r="X78" s="116" t="n"/>
      <c r="Y78" s="116" t="n"/>
      <c r="Z78" s="116" t="n"/>
      <c r="AA78" s="116" t="n"/>
      <c r="AB78" s="116" t="n"/>
      <c r="AC78" s="116" t="n"/>
      <c r="AD78" s="116" t="n"/>
      <c r="AE78" s="116" t="n"/>
      <c r="AF78" s="116" t="n"/>
      <c r="AG78" s="116" t="n"/>
      <c r="AH78" s="116" t="n"/>
      <c r="AI78" s="116" t="n"/>
      <c r="AJ78" s="116" t="n"/>
      <c r="AK78" s="116" t="n"/>
      <c r="AL78" s="116" t="n"/>
      <c r="AM78" s="116" t="n"/>
      <c r="AN78" s="116" t="n"/>
      <c r="AO78" s="116" t="n"/>
      <c r="AP78" s="116" t="n"/>
      <c r="AQ78" s="116" t="n"/>
      <c r="AR78" s="116" t="n"/>
      <c r="AS78" s="116" t="n"/>
      <c r="AT78" s="116" t="n"/>
      <c r="AU78" s="116" t="n"/>
      <c r="AV78" s="116" t="n"/>
      <c r="AX78" s="117">
        <f>WBS!G78</f>
        <v/>
      </c>
      <c r="AY78" s="117">
        <f>WBS!H78</f>
        <v/>
      </c>
      <c r="AZ78" s="115">
        <f>WBS!F78</f>
        <v/>
      </c>
    </row>
    <row r="79" ht="18" customHeight="1">
      <c r="A79" s="115" t="inlineStr">
        <is>
          <t>5.2</t>
        </is>
      </c>
      <c r="B79" s="114">
        <f>WBS!C79</f>
        <v/>
      </c>
      <c r="C79" s="115">
        <f>WBS!D79</f>
        <v/>
      </c>
      <c r="D79" s="116" t="n"/>
      <c r="E79" s="116" t="n"/>
      <c r="F79" s="116" t="n"/>
      <c r="G79" s="116" t="n"/>
      <c r="H79" s="116" t="n"/>
      <c r="I79" s="116" t="n"/>
      <c r="J79" s="116" t="n"/>
      <c r="K79" s="116" t="n"/>
      <c r="L79" s="116" t="n"/>
      <c r="M79" s="116" t="n"/>
      <c r="N79" s="116" t="n"/>
      <c r="O79" s="116" t="n"/>
      <c r="P79" s="116" t="n"/>
      <c r="Q79" s="116" t="n"/>
      <c r="R79" s="116" t="n"/>
      <c r="S79" s="116" t="n"/>
      <c r="T79" s="116" t="n"/>
      <c r="U79" s="116" t="n"/>
      <c r="V79" s="116" t="n"/>
      <c r="W79" s="116" t="n"/>
      <c r="X79" s="116" t="n"/>
      <c r="Y79" s="116" t="n"/>
      <c r="Z79" s="116" t="n"/>
      <c r="AA79" s="116" t="n"/>
      <c r="AB79" s="116" t="n"/>
      <c r="AC79" s="116" t="n"/>
      <c r="AD79" s="116" t="n"/>
      <c r="AE79" s="116" t="n"/>
      <c r="AF79" s="116" t="n"/>
      <c r="AG79" s="116" t="n"/>
      <c r="AH79" s="116" t="n"/>
      <c r="AI79" s="116" t="n"/>
      <c r="AJ79" s="116" t="n"/>
      <c r="AK79" s="116" t="n"/>
      <c r="AL79" s="116" t="n"/>
      <c r="AM79" s="116" t="n"/>
      <c r="AN79" s="116" t="n"/>
      <c r="AO79" s="116" t="n"/>
      <c r="AP79" s="116" t="n"/>
      <c r="AQ79" s="116" t="n"/>
      <c r="AR79" s="116" t="n"/>
      <c r="AS79" s="116" t="n"/>
      <c r="AT79" s="116" t="n"/>
      <c r="AU79" s="116" t="n"/>
      <c r="AV79" s="116" t="n"/>
      <c r="AX79" s="117">
        <f>WBS!G79</f>
        <v/>
      </c>
      <c r="AY79" s="117">
        <f>WBS!H79</f>
        <v/>
      </c>
      <c r="AZ79" s="115">
        <f>WBS!F79</f>
        <v/>
      </c>
    </row>
    <row r="80" ht="18" customHeight="1">
      <c r="A80" s="115" t="inlineStr">
        <is>
          <t>5.3</t>
        </is>
      </c>
      <c r="B80" s="114">
        <f>WBS!C80</f>
        <v/>
      </c>
      <c r="C80" s="115">
        <f>WBS!D80</f>
        <v/>
      </c>
      <c r="D80" s="116" t="n"/>
      <c r="E80" s="116" t="n"/>
      <c r="F80" s="116" t="n"/>
      <c r="G80" s="116" t="n"/>
      <c r="H80" s="116" t="n"/>
      <c r="I80" s="116" t="n"/>
      <c r="J80" s="116" t="n"/>
      <c r="K80" s="116" t="n"/>
      <c r="L80" s="116" t="n"/>
      <c r="M80" s="116" t="n"/>
      <c r="N80" s="116" t="n"/>
      <c r="O80" s="116" t="n"/>
      <c r="P80" s="116" t="n"/>
      <c r="Q80" s="116" t="n"/>
      <c r="R80" s="116" t="n"/>
      <c r="S80" s="116" t="n"/>
      <c r="T80" s="116" t="n"/>
      <c r="U80" s="116" t="n"/>
      <c r="V80" s="116" t="n"/>
      <c r="W80" s="116" t="n"/>
      <c r="X80" s="116" t="n"/>
      <c r="Y80" s="116" t="n"/>
      <c r="Z80" s="116" t="n"/>
      <c r="AA80" s="116" t="n"/>
      <c r="AB80" s="116" t="n"/>
      <c r="AC80" s="116" t="n"/>
      <c r="AD80" s="116" t="n"/>
      <c r="AE80" s="116" t="n"/>
      <c r="AF80" s="116" t="n"/>
      <c r="AG80" s="116" t="n"/>
      <c r="AH80" s="116" t="n"/>
      <c r="AI80" s="116" t="n"/>
      <c r="AJ80" s="116" t="n"/>
      <c r="AK80" s="116" t="n"/>
      <c r="AL80" s="116" t="n"/>
      <c r="AM80" s="116" t="n"/>
      <c r="AN80" s="116" t="n"/>
      <c r="AO80" s="116" t="n"/>
      <c r="AP80" s="116" t="n"/>
      <c r="AQ80" s="116" t="n"/>
      <c r="AR80" s="116" t="n"/>
      <c r="AS80" s="116" t="n"/>
      <c r="AT80" s="116" t="n"/>
      <c r="AU80" s="116" t="n"/>
      <c r="AV80" s="116" t="n"/>
      <c r="AX80" s="117">
        <f>WBS!G80</f>
        <v/>
      </c>
      <c r="AY80" s="117">
        <f>WBS!H80</f>
        <v/>
      </c>
      <c r="AZ80" s="115">
        <f>WBS!F80</f>
        <v/>
      </c>
    </row>
    <row r="81" ht="18" customHeight="1">
      <c r="A81" s="115" t="inlineStr">
        <is>
          <t>5.4</t>
        </is>
      </c>
      <c r="B81" s="114">
        <f>WBS!C81</f>
        <v/>
      </c>
      <c r="C81" s="115">
        <f>WBS!D81</f>
        <v/>
      </c>
      <c r="D81" s="116" t="n"/>
      <c r="E81" s="116" t="n"/>
      <c r="F81" s="116" t="n"/>
      <c r="G81" s="116" t="n"/>
      <c r="H81" s="116" t="n"/>
      <c r="I81" s="116" t="n"/>
      <c r="J81" s="116" t="n"/>
      <c r="K81" s="116" t="n"/>
      <c r="L81" s="116" t="n"/>
      <c r="M81" s="116" t="n"/>
      <c r="N81" s="116" t="n"/>
      <c r="O81" s="116" t="n"/>
      <c r="P81" s="116" t="n"/>
      <c r="Q81" s="116" t="n"/>
      <c r="R81" s="116" t="n"/>
      <c r="S81" s="116" t="n"/>
      <c r="T81" s="116" t="n"/>
      <c r="U81" s="116" t="n"/>
      <c r="V81" s="116" t="n"/>
      <c r="W81" s="116" t="n"/>
      <c r="X81" s="116" t="n"/>
      <c r="Y81" s="116" t="n"/>
      <c r="Z81" s="116" t="n"/>
      <c r="AA81" s="116" t="n"/>
      <c r="AB81" s="116" t="n"/>
      <c r="AC81" s="116" t="n"/>
      <c r="AD81" s="116" t="n"/>
      <c r="AE81" s="116" t="n"/>
      <c r="AF81" s="116" t="n"/>
      <c r="AG81" s="116" t="n"/>
      <c r="AH81" s="116" t="n"/>
      <c r="AI81" s="116" t="n"/>
      <c r="AJ81" s="116" t="n"/>
      <c r="AK81" s="116" t="n"/>
      <c r="AL81" s="116" t="n"/>
      <c r="AM81" s="116" t="n"/>
      <c r="AN81" s="116" t="n"/>
      <c r="AO81" s="116" t="n"/>
      <c r="AP81" s="116" t="n"/>
      <c r="AQ81" s="116" t="n"/>
      <c r="AR81" s="116" t="n"/>
      <c r="AS81" s="116" t="n"/>
      <c r="AT81" s="116" t="n"/>
      <c r="AU81" s="116" t="n"/>
      <c r="AV81" s="116" t="n"/>
      <c r="AX81" s="117">
        <f>WBS!G81</f>
        <v/>
      </c>
      <c r="AY81" s="117">
        <f>WBS!H81</f>
        <v/>
      </c>
      <c r="AZ81" s="115">
        <f>WBS!F81</f>
        <v/>
      </c>
    </row>
    <row r="82" ht="18" customHeight="1">
      <c r="A82" s="115" t="inlineStr">
        <is>
          <t>5.5</t>
        </is>
      </c>
      <c r="B82" s="114">
        <f>WBS!C82</f>
        <v/>
      </c>
      <c r="C82" s="115">
        <f>WBS!D82</f>
        <v/>
      </c>
      <c r="D82" s="116" t="n"/>
      <c r="E82" s="116" t="n"/>
      <c r="F82" s="116" t="n"/>
      <c r="G82" s="116" t="n"/>
      <c r="H82" s="116" t="n"/>
      <c r="I82" s="116" t="n"/>
      <c r="J82" s="116" t="n"/>
      <c r="K82" s="116" t="n"/>
      <c r="L82" s="116" t="n"/>
      <c r="M82" s="116" t="n"/>
      <c r="N82" s="116" t="n"/>
      <c r="O82" s="116" t="n"/>
      <c r="P82" s="116" t="n"/>
      <c r="Q82" s="116" t="n"/>
      <c r="R82" s="116" t="n"/>
      <c r="S82" s="116" t="n"/>
      <c r="T82" s="116" t="n"/>
      <c r="U82" s="116" t="n"/>
      <c r="V82" s="116" t="n"/>
      <c r="W82" s="116" t="n"/>
      <c r="X82" s="116" t="n"/>
      <c r="Y82" s="116" t="n"/>
      <c r="Z82" s="116" t="n"/>
      <c r="AA82" s="116" t="n"/>
      <c r="AB82" s="116" t="n"/>
      <c r="AC82" s="116" t="n"/>
      <c r="AD82" s="116" t="n"/>
      <c r="AE82" s="116" t="n"/>
      <c r="AF82" s="116" t="n"/>
      <c r="AG82" s="116" t="n"/>
      <c r="AH82" s="116" t="n"/>
      <c r="AI82" s="116" t="n"/>
      <c r="AJ82" s="116" t="n"/>
      <c r="AK82" s="116" t="n"/>
      <c r="AL82" s="116" t="n"/>
      <c r="AM82" s="116" t="n"/>
      <c r="AN82" s="116" t="n"/>
      <c r="AO82" s="116" t="n"/>
      <c r="AP82" s="116" t="n"/>
      <c r="AQ82" s="116" t="n"/>
      <c r="AR82" s="116" t="n"/>
      <c r="AS82" s="116" t="n"/>
      <c r="AT82" s="116" t="n"/>
      <c r="AU82" s="116" t="n"/>
      <c r="AV82" s="116" t="n"/>
      <c r="AX82" s="117">
        <f>WBS!G82</f>
        <v/>
      </c>
      <c r="AY82" s="117">
        <f>WBS!H82</f>
        <v/>
      </c>
      <c r="AZ82" s="115">
        <f>WBS!F82</f>
        <v/>
      </c>
    </row>
    <row r="83" ht="18" customHeight="1">
      <c r="A83" s="115" t="inlineStr">
        <is>
          <t>5.6</t>
        </is>
      </c>
      <c r="B83" s="114">
        <f>WBS!C83</f>
        <v/>
      </c>
      <c r="C83" s="115">
        <f>WBS!D83</f>
        <v/>
      </c>
      <c r="D83" s="116" t="n"/>
      <c r="E83" s="116" t="n"/>
      <c r="F83" s="116" t="n"/>
      <c r="G83" s="116" t="n"/>
      <c r="H83" s="116" t="n"/>
      <c r="I83" s="116" t="n"/>
      <c r="J83" s="116" t="n"/>
      <c r="K83" s="116" t="n"/>
      <c r="L83" s="116" t="n"/>
      <c r="M83" s="116" t="n"/>
      <c r="N83" s="116" t="n"/>
      <c r="O83" s="116" t="n"/>
      <c r="P83" s="116" t="n"/>
      <c r="Q83" s="116" t="n"/>
      <c r="R83" s="116" t="n"/>
      <c r="S83" s="116" t="n"/>
      <c r="T83" s="116" t="n"/>
      <c r="U83" s="116" t="n"/>
      <c r="V83" s="116" t="n"/>
      <c r="W83" s="116" t="n"/>
      <c r="X83" s="116" t="n"/>
      <c r="Y83" s="116" t="n"/>
      <c r="Z83" s="116" t="n"/>
      <c r="AA83" s="116" t="n"/>
      <c r="AB83" s="116" t="n"/>
      <c r="AC83" s="116" t="n"/>
      <c r="AD83" s="116" t="n"/>
      <c r="AE83" s="116" t="n"/>
      <c r="AF83" s="116" t="n"/>
      <c r="AG83" s="116" t="n"/>
      <c r="AH83" s="116" t="n"/>
      <c r="AI83" s="116" t="n"/>
      <c r="AJ83" s="116" t="n"/>
      <c r="AK83" s="116" t="n"/>
      <c r="AL83" s="116" t="n"/>
      <c r="AM83" s="116" t="n"/>
      <c r="AN83" s="116" t="n"/>
      <c r="AO83" s="116" t="n"/>
      <c r="AP83" s="116" t="n"/>
      <c r="AQ83" s="116" t="n"/>
      <c r="AR83" s="116" t="n"/>
      <c r="AS83" s="116" t="n"/>
      <c r="AT83" s="116" t="n"/>
      <c r="AU83" s="116" t="n"/>
      <c r="AV83" s="116" t="n"/>
      <c r="AX83" s="117">
        <f>WBS!G83</f>
        <v/>
      </c>
      <c r="AY83" s="117">
        <f>WBS!H83</f>
        <v/>
      </c>
      <c r="AZ83" s="115">
        <f>WBS!F83</f>
        <v/>
      </c>
    </row>
    <row r="84" ht="18" customHeight="1">
      <c r="A84" s="115" t="inlineStr">
        <is>
          <t>5.7</t>
        </is>
      </c>
      <c r="B84" s="114">
        <f>WBS!C84</f>
        <v/>
      </c>
      <c r="C84" s="115">
        <f>WBS!D84</f>
        <v/>
      </c>
      <c r="D84" s="116" t="n"/>
      <c r="E84" s="116" t="n"/>
      <c r="F84" s="116" t="n"/>
      <c r="G84" s="116" t="n"/>
      <c r="H84" s="116" t="n"/>
      <c r="I84" s="116" t="n"/>
      <c r="J84" s="116" t="n"/>
      <c r="K84" s="116" t="n"/>
      <c r="L84" s="116" t="n"/>
      <c r="M84" s="116" t="n"/>
      <c r="N84" s="116" t="n"/>
      <c r="O84" s="116" t="n"/>
      <c r="P84" s="116" t="n"/>
      <c r="Q84" s="116" t="n"/>
      <c r="R84" s="116" t="n"/>
      <c r="S84" s="116" t="n"/>
      <c r="T84" s="116" t="n"/>
      <c r="U84" s="116" t="n"/>
      <c r="V84" s="116" t="n"/>
      <c r="W84" s="116" t="n"/>
      <c r="X84" s="116" t="n"/>
      <c r="Y84" s="116" t="n"/>
      <c r="Z84" s="116" t="n"/>
      <c r="AA84" s="116" t="n"/>
      <c r="AB84" s="116" t="n"/>
      <c r="AC84" s="116" t="n"/>
      <c r="AD84" s="116" t="n"/>
      <c r="AE84" s="116" t="n"/>
      <c r="AF84" s="116" t="n"/>
      <c r="AG84" s="116" t="n"/>
      <c r="AH84" s="116" t="n"/>
      <c r="AI84" s="116" t="n"/>
      <c r="AJ84" s="116" t="n"/>
      <c r="AK84" s="116" t="n"/>
      <c r="AL84" s="116" t="n"/>
      <c r="AM84" s="116" t="n"/>
      <c r="AN84" s="116" t="n"/>
      <c r="AO84" s="116" t="n"/>
      <c r="AP84" s="116" t="n"/>
      <c r="AQ84" s="116" t="n"/>
      <c r="AR84" s="116" t="n"/>
      <c r="AS84" s="116" t="n"/>
      <c r="AT84" s="116" t="n"/>
      <c r="AU84" s="116" t="n"/>
      <c r="AV84" s="116" t="n"/>
      <c r="AX84" s="117">
        <f>WBS!G84</f>
        <v/>
      </c>
      <c r="AY84" s="117">
        <f>WBS!H84</f>
        <v/>
      </c>
      <c r="AZ84" s="115">
        <f>WBS!F84</f>
        <v/>
      </c>
    </row>
    <row r="85" ht="18" customHeight="1">
      <c r="A85" s="115" t="inlineStr">
        <is>
          <t>5.8</t>
        </is>
      </c>
      <c r="B85" s="114">
        <f>WBS!C85</f>
        <v/>
      </c>
      <c r="C85" s="115">
        <f>WBS!D85</f>
        <v/>
      </c>
      <c r="D85" s="116" t="n"/>
      <c r="E85" s="116" t="n"/>
      <c r="F85" s="116" t="n"/>
      <c r="G85" s="116" t="n"/>
      <c r="H85" s="116" t="n"/>
      <c r="I85" s="116" t="n"/>
      <c r="J85" s="116" t="n"/>
      <c r="K85" s="116" t="n"/>
      <c r="L85" s="116" t="n"/>
      <c r="M85" s="116" t="n"/>
      <c r="N85" s="116" t="n"/>
      <c r="O85" s="116" t="n"/>
      <c r="P85" s="116" t="n"/>
      <c r="Q85" s="116" t="n"/>
      <c r="R85" s="116" t="n"/>
      <c r="S85" s="116" t="n"/>
      <c r="T85" s="116" t="n"/>
      <c r="U85" s="116" t="n"/>
      <c r="V85" s="116" t="n"/>
      <c r="W85" s="116" t="n"/>
      <c r="X85" s="116" t="n"/>
      <c r="Y85" s="116" t="n"/>
      <c r="Z85" s="116" t="n"/>
      <c r="AA85" s="116" t="n"/>
      <c r="AB85" s="116" t="n"/>
      <c r="AC85" s="116" t="n"/>
      <c r="AD85" s="116" t="n"/>
      <c r="AE85" s="116" t="n"/>
      <c r="AF85" s="116" t="n"/>
      <c r="AG85" s="116" t="n"/>
      <c r="AH85" s="116" t="n"/>
      <c r="AI85" s="116" t="n"/>
      <c r="AJ85" s="116" t="n"/>
      <c r="AK85" s="116" t="n"/>
      <c r="AL85" s="116" t="n"/>
      <c r="AM85" s="116" t="n"/>
      <c r="AN85" s="116" t="n"/>
      <c r="AO85" s="116" t="n"/>
      <c r="AP85" s="116" t="n"/>
      <c r="AQ85" s="116" t="n"/>
      <c r="AR85" s="116" t="n"/>
      <c r="AS85" s="116" t="n"/>
      <c r="AT85" s="116" t="n"/>
      <c r="AU85" s="116" t="n"/>
      <c r="AV85" s="116" t="n"/>
      <c r="AX85" s="117">
        <f>WBS!G85</f>
        <v/>
      </c>
      <c r="AY85" s="117">
        <f>WBS!H85</f>
        <v/>
      </c>
      <c r="AZ85" s="115">
        <f>WBS!F85</f>
        <v/>
      </c>
    </row>
    <row r="86" ht="18" customHeight="1">
      <c r="A86" s="115" t="inlineStr">
        <is>
          <t>5.9</t>
        </is>
      </c>
      <c r="B86" s="114">
        <f>WBS!C86</f>
        <v/>
      </c>
      <c r="C86" s="115">
        <f>WBS!D86</f>
        <v/>
      </c>
      <c r="D86" s="116" t="n"/>
      <c r="E86" s="116" t="n"/>
      <c r="F86" s="116" t="n"/>
      <c r="G86" s="116" t="n"/>
      <c r="H86" s="116" t="n"/>
      <c r="I86" s="116" t="n"/>
      <c r="J86" s="116" t="n"/>
      <c r="K86" s="116" t="n"/>
      <c r="L86" s="116" t="n"/>
      <c r="M86" s="116" t="n"/>
      <c r="N86" s="116" t="n"/>
      <c r="O86" s="116" t="n"/>
      <c r="P86" s="116" t="n"/>
      <c r="Q86" s="116" t="n"/>
      <c r="R86" s="116" t="n"/>
      <c r="S86" s="116" t="n"/>
      <c r="T86" s="116" t="n"/>
      <c r="U86" s="116" t="n"/>
      <c r="V86" s="116" t="n"/>
      <c r="W86" s="116" t="n"/>
      <c r="X86" s="116" t="n"/>
      <c r="Y86" s="116" t="n"/>
      <c r="Z86" s="116" t="n"/>
      <c r="AA86" s="116" t="n"/>
      <c r="AB86" s="116" t="n"/>
      <c r="AC86" s="116" t="n"/>
      <c r="AD86" s="116" t="n"/>
      <c r="AE86" s="116" t="n"/>
      <c r="AF86" s="116" t="n"/>
      <c r="AG86" s="116" t="n"/>
      <c r="AH86" s="116" t="n"/>
      <c r="AI86" s="116" t="n"/>
      <c r="AJ86" s="116" t="n"/>
      <c r="AK86" s="116" t="n"/>
      <c r="AL86" s="116" t="n"/>
      <c r="AM86" s="116" t="n"/>
      <c r="AN86" s="116" t="n"/>
      <c r="AO86" s="116" t="n"/>
      <c r="AP86" s="116" t="n"/>
      <c r="AQ86" s="116" t="n"/>
      <c r="AR86" s="116" t="n"/>
      <c r="AS86" s="116" t="n"/>
      <c r="AT86" s="116" t="n"/>
      <c r="AU86" s="116" t="n"/>
      <c r="AV86" s="116" t="n"/>
      <c r="AX86" s="117">
        <f>WBS!G86</f>
        <v/>
      </c>
      <c r="AY86" s="117">
        <f>WBS!H86</f>
        <v/>
      </c>
      <c r="AZ86" s="115">
        <f>WBS!F86</f>
        <v/>
      </c>
    </row>
    <row r="87" ht="18" customHeight="1">
      <c r="A87" s="115" t="inlineStr">
        <is>
          <t>5.10</t>
        </is>
      </c>
      <c r="B87" s="114">
        <f>WBS!C87</f>
        <v/>
      </c>
      <c r="C87" s="115">
        <f>WBS!D87</f>
        <v/>
      </c>
      <c r="D87" s="116" t="n"/>
      <c r="E87" s="116" t="n"/>
      <c r="F87" s="116" t="n"/>
      <c r="G87" s="116" t="n"/>
      <c r="H87" s="116" t="n"/>
      <c r="I87" s="116" t="n"/>
      <c r="J87" s="116" t="n"/>
      <c r="K87" s="116" t="n"/>
      <c r="L87" s="116" t="n"/>
      <c r="M87" s="116" t="n"/>
      <c r="N87" s="116" t="n"/>
      <c r="O87" s="116" t="n"/>
      <c r="P87" s="116" t="n"/>
      <c r="Q87" s="116" t="n"/>
      <c r="R87" s="116" t="n"/>
      <c r="S87" s="116" t="n"/>
      <c r="T87" s="116" t="n"/>
      <c r="U87" s="116" t="n"/>
      <c r="V87" s="116" t="n"/>
      <c r="W87" s="116" t="n"/>
      <c r="X87" s="116" t="n"/>
      <c r="Y87" s="116" t="n"/>
      <c r="Z87" s="116" t="n"/>
      <c r="AA87" s="116" t="n"/>
      <c r="AB87" s="116" t="n"/>
      <c r="AC87" s="116" t="n"/>
      <c r="AD87" s="116" t="n"/>
      <c r="AE87" s="116" t="n"/>
      <c r="AF87" s="116" t="n"/>
      <c r="AG87" s="116" t="n"/>
      <c r="AH87" s="116" t="n"/>
      <c r="AI87" s="116" t="n"/>
      <c r="AJ87" s="116" t="n"/>
      <c r="AK87" s="116" t="n"/>
      <c r="AL87" s="116" t="n"/>
      <c r="AM87" s="116" t="n"/>
      <c r="AN87" s="116" t="n"/>
      <c r="AO87" s="116" t="n"/>
      <c r="AP87" s="116" t="n"/>
      <c r="AQ87" s="116" t="n"/>
      <c r="AR87" s="116" t="n"/>
      <c r="AS87" s="116" t="n"/>
      <c r="AT87" s="116" t="n"/>
      <c r="AU87" s="116" t="n"/>
      <c r="AV87" s="116" t="n"/>
      <c r="AX87" s="117">
        <f>WBS!G87</f>
        <v/>
      </c>
      <c r="AY87" s="117">
        <f>WBS!H87</f>
        <v/>
      </c>
      <c r="AZ87" s="115">
        <f>WBS!F87</f>
        <v/>
      </c>
    </row>
    <row r="88" ht="18" customHeight="1">
      <c r="A88" s="115" t="inlineStr">
        <is>
          <t>5.11</t>
        </is>
      </c>
      <c r="B88" s="114">
        <f>WBS!C88</f>
        <v/>
      </c>
      <c r="C88" s="115">
        <f>WBS!D88</f>
        <v/>
      </c>
      <c r="D88" s="116" t="n"/>
      <c r="E88" s="116" t="n"/>
      <c r="F88" s="116" t="n"/>
      <c r="G88" s="116" t="n"/>
      <c r="H88" s="116" t="n"/>
      <c r="I88" s="116" t="n"/>
      <c r="J88" s="116" t="n"/>
      <c r="K88" s="116" t="n"/>
      <c r="L88" s="116" t="n"/>
      <c r="M88" s="116" t="n"/>
      <c r="N88" s="116" t="n"/>
      <c r="O88" s="116" t="n"/>
      <c r="P88" s="116" t="n"/>
      <c r="Q88" s="116" t="n"/>
      <c r="R88" s="116" t="n"/>
      <c r="S88" s="116" t="n"/>
      <c r="T88" s="116" t="n"/>
      <c r="U88" s="116" t="n"/>
      <c r="V88" s="116" t="n"/>
      <c r="W88" s="116" t="n"/>
      <c r="X88" s="116" t="n"/>
      <c r="Y88" s="116" t="n"/>
      <c r="Z88" s="116" t="n"/>
      <c r="AA88" s="116" t="n"/>
      <c r="AB88" s="116" t="n"/>
      <c r="AC88" s="116" t="n"/>
      <c r="AD88" s="116" t="n"/>
      <c r="AE88" s="116" t="n"/>
      <c r="AF88" s="116" t="n"/>
      <c r="AG88" s="116" t="n"/>
      <c r="AH88" s="116" t="n"/>
      <c r="AI88" s="116" t="n"/>
      <c r="AJ88" s="116" t="n"/>
      <c r="AK88" s="116" t="n"/>
      <c r="AL88" s="116" t="n"/>
      <c r="AM88" s="116" t="n"/>
      <c r="AN88" s="116" t="n"/>
      <c r="AO88" s="116" t="n"/>
      <c r="AP88" s="116" t="n"/>
      <c r="AQ88" s="116" t="n"/>
      <c r="AR88" s="116" t="n"/>
      <c r="AS88" s="116" t="n"/>
      <c r="AT88" s="116" t="n"/>
      <c r="AU88" s="116" t="n"/>
      <c r="AV88" s="116" t="n"/>
      <c r="AX88" s="117">
        <f>WBS!G88</f>
        <v/>
      </c>
      <c r="AY88" s="117">
        <f>WBS!H88</f>
        <v/>
      </c>
      <c r="AZ88" s="115">
        <f>WBS!F88</f>
        <v/>
      </c>
    </row>
    <row r="89" ht="18" customHeight="1">
      <c r="A89" s="115" t="inlineStr">
        <is>
          <t>5.12</t>
        </is>
      </c>
      <c r="B89" s="114">
        <f>WBS!C89</f>
        <v/>
      </c>
      <c r="C89" s="115">
        <f>WBS!D89</f>
        <v/>
      </c>
      <c r="D89" s="116" t="n"/>
      <c r="E89" s="116" t="n"/>
      <c r="F89" s="116" t="n"/>
      <c r="G89" s="116" t="n"/>
      <c r="H89" s="116" t="n"/>
      <c r="I89" s="116" t="n"/>
      <c r="J89" s="116" t="n"/>
      <c r="K89" s="116" t="n"/>
      <c r="L89" s="116" t="n"/>
      <c r="M89" s="116" t="n"/>
      <c r="N89" s="116" t="n"/>
      <c r="O89" s="116" t="n"/>
      <c r="P89" s="116" t="n"/>
      <c r="Q89" s="116" t="n"/>
      <c r="R89" s="116" t="n"/>
      <c r="S89" s="116" t="n"/>
      <c r="T89" s="116" t="n"/>
      <c r="U89" s="116" t="n"/>
      <c r="V89" s="116" t="n"/>
      <c r="W89" s="116" t="n"/>
      <c r="X89" s="116" t="n"/>
      <c r="Y89" s="116" t="n"/>
      <c r="Z89" s="116" t="n"/>
      <c r="AA89" s="116" t="n"/>
      <c r="AB89" s="116" t="n"/>
      <c r="AC89" s="116" t="n"/>
      <c r="AD89" s="116" t="n"/>
      <c r="AE89" s="116" t="n"/>
      <c r="AF89" s="116" t="n"/>
      <c r="AG89" s="116" t="n"/>
      <c r="AH89" s="116" t="n"/>
      <c r="AI89" s="116" t="n"/>
      <c r="AJ89" s="116" t="n"/>
      <c r="AK89" s="116" t="n"/>
      <c r="AL89" s="116" t="n"/>
      <c r="AM89" s="116" t="n"/>
      <c r="AN89" s="116" t="n"/>
      <c r="AO89" s="116" t="n"/>
      <c r="AP89" s="116" t="n"/>
      <c r="AQ89" s="116" t="n"/>
      <c r="AR89" s="116" t="n"/>
      <c r="AS89" s="116" t="n"/>
      <c r="AT89" s="116" t="n"/>
      <c r="AU89" s="116" t="n"/>
      <c r="AV89" s="116" t="n"/>
      <c r="AX89" s="117">
        <f>WBS!G89</f>
        <v/>
      </c>
      <c r="AY89" s="117">
        <f>WBS!H89</f>
        <v/>
      </c>
      <c r="AZ89" s="115">
        <f>WBS!F89</f>
        <v/>
      </c>
    </row>
    <row r="90" ht="18" customHeight="1">
      <c r="A90" s="115" t="inlineStr">
        <is>
          <t>5.13</t>
        </is>
      </c>
      <c r="B90" s="114">
        <f>WBS!C90</f>
        <v/>
      </c>
      <c r="C90" s="115">
        <f>WBS!D90</f>
        <v/>
      </c>
      <c r="D90" s="116" t="n"/>
      <c r="E90" s="116" t="n"/>
      <c r="F90" s="116" t="n"/>
      <c r="G90" s="116" t="n"/>
      <c r="H90" s="116" t="n"/>
      <c r="I90" s="116" t="n"/>
      <c r="J90" s="116" t="n"/>
      <c r="K90" s="116" t="n"/>
      <c r="L90" s="116" t="n"/>
      <c r="M90" s="116" t="n"/>
      <c r="N90" s="116" t="n"/>
      <c r="O90" s="116" t="n"/>
      <c r="P90" s="116" t="n"/>
      <c r="Q90" s="116" t="n"/>
      <c r="R90" s="116" t="n"/>
      <c r="S90" s="116" t="n"/>
      <c r="T90" s="116" t="n"/>
      <c r="U90" s="116" t="n"/>
      <c r="V90" s="116" t="n"/>
      <c r="W90" s="116" t="n"/>
      <c r="X90" s="116" t="n"/>
      <c r="Y90" s="116" t="n"/>
      <c r="Z90" s="116" t="n"/>
      <c r="AA90" s="116" t="n"/>
      <c r="AB90" s="116" t="n"/>
      <c r="AC90" s="116" t="n"/>
      <c r="AD90" s="116" t="n"/>
      <c r="AE90" s="116" t="n"/>
      <c r="AF90" s="116" t="n"/>
      <c r="AG90" s="116" t="n"/>
      <c r="AH90" s="116" t="n"/>
      <c r="AI90" s="116" t="n"/>
      <c r="AJ90" s="116" t="n"/>
      <c r="AK90" s="116" t="n"/>
      <c r="AL90" s="116" t="n"/>
      <c r="AM90" s="116" t="n"/>
      <c r="AN90" s="116" t="n"/>
      <c r="AO90" s="116" t="n"/>
      <c r="AP90" s="116" t="n"/>
      <c r="AQ90" s="116" t="n"/>
      <c r="AR90" s="116" t="n"/>
      <c r="AS90" s="116" t="n"/>
      <c r="AT90" s="116" t="n"/>
      <c r="AU90" s="116" t="n"/>
      <c r="AV90" s="116" t="n"/>
      <c r="AX90" s="117">
        <f>WBS!G90</f>
        <v/>
      </c>
      <c r="AY90" s="117">
        <f>WBS!H90</f>
        <v/>
      </c>
      <c r="AZ90" s="115">
        <f>WBS!F90</f>
        <v/>
      </c>
    </row>
    <row r="91" ht="18" customHeight="1">
      <c r="A91" s="115" t="inlineStr">
        <is>
          <t>5.14</t>
        </is>
      </c>
      <c r="B91" s="114">
        <f>WBS!C91</f>
        <v/>
      </c>
      <c r="C91" s="115">
        <f>WBS!D91</f>
        <v/>
      </c>
      <c r="D91" s="116" t="n"/>
      <c r="E91" s="116" t="n"/>
      <c r="F91" s="116" t="n"/>
      <c r="G91" s="116" t="n"/>
      <c r="H91" s="116" t="n"/>
      <c r="I91" s="116" t="n"/>
      <c r="J91" s="116" t="n"/>
      <c r="K91" s="116" t="n"/>
      <c r="L91" s="116" t="n"/>
      <c r="M91" s="116" t="n"/>
      <c r="N91" s="116" t="n"/>
      <c r="O91" s="116" t="n"/>
      <c r="P91" s="116" t="n"/>
      <c r="Q91" s="116" t="n"/>
      <c r="R91" s="116" t="n"/>
      <c r="S91" s="116" t="n"/>
      <c r="T91" s="116" t="n"/>
      <c r="U91" s="116" t="n"/>
      <c r="V91" s="116" t="n"/>
      <c r="W91" s="116" t="n"/>
      <c r="X91" s="116" t="n"/>
      <c r="Y91" s="116" t="n"/>
      <c r="Z91" s="116" t="n"/>
      <c r="AA91" s="116" t="n"/>
      <c r="AB91" s="116" t="n"/>
      <c r="AC91" s="116" t="n"/>
      <c r="AD91" s="116" t="n"/>
      <c r="AE91" s="116" t="n"/>
      <c r="AF91" s="116" t="n"/>
      <c r="AG91" s="116" t="n"/>
      <c r="AH91" s="116" t="n"/>
      <c r="AI91" s="116" t="n"/>
      <c r="AJ91" s="116" t="n"/>
      <c r="AK91" s="116" t="n"/>
      <c r="AL91" s="116" t="n"/>
      <c r="AM91" s="116" t="n"/>
      <c r="AN91" s="116" t="n"/>
      <c r="AO91" s="116" t="n"/>
      <c r="AP91" s="116" t="n"/>
      <c r="AQ91" s="116" t="n"/>
      <c r="AR91" s="116" t="n"/>
      <c r="AS91" s="116" t="n"/>
      <c r="AT91" s="116" t="n"/>
      <c r="AU91" s="116" t="n"/>
      <c r="AV91" s="116" t="n"/>
      <c r="AX91" s="117">
        <f>WBS!G91</f>
        <v/>
      </c>
      <c r="AY91" s="117">
        <f>WBS!H91</f>
        <v/>
      </c>
      <c r="AZ91" s="115">
        <f>WBS!F91</f>
        <v/>
      </c>
    </row>
    <row r="92" ht="18" customHeight="1">
      <c r="A92" s="115" t="inlineStr">
        <is>
          <t>5.15</t>
        </is>
      </c>
      <c r="B92" s="114">
        <f>WBS!C92</f>
        <v/>
      </c>
      <c r="C92" s="115">
        <f>WBS!D92</f>
        <v/>
      </c>
      <c r="D92" s="116" t="n"/>
      <c r="E92" s="116" t="n"/>
      <c r="F92" s="116" t="n"/>
      <c r="G92" s="116" t="n"/>
      <c r="H92" s="116" t="n"/>
      <c r="I92" s="116" t="n"/>
      <c r="J92" s="116" t="n"/>
      <c r="K92" s="116" t="n"/>
      <c r="L92" s="116" t="n"/>
      <c r="M92" s="116" t="n"/>
      <c r="N92" s="116" t="n"/>
      <c r="O92" s="116" t="n"/>
      <c r="P92" s="116" t="n"/>
      <c r="Q92" s="116" t="n"/>
      <c r="R92" s="116" t="n"/>
      <c r="S92" s="116" t="n"/>
      <c r="T92" s="116" t="n"/>
      <c r="U92" s="116" t="n"/>
      <c r="V92" s="116" t="n"/>
      <c r="W92" s="116" t="n"/>
      <c r="X92" s="116" t="n"/>
      <c r="Y92" s="116" t="n"/>
      <c r="Z92" s="116" t="n"/>
      <c r="AA92" s="116" t="n"/>
      <c r="AB92" s="116" t="n"/>
      <c r="AC92" s="116" t="n"/>
      <c r="AD92" s="116" t="n"/>
      <c r="AE92" s="116" t="n"/>
      <c r="AF92" s="116" t="n"/>
      <c r="AG92" s="116" t="n"/>
      <c r="AH92" s="116" t="n"/>
      <c r="AI92" s="116" t="n"/>
      <c r="AJ92" s="116" t="n"/>
      <c r="AK92" s="116" t="n"/>
      <c r="AL92" s="116" t="n"/>
      <c r="AM92" s="116" t="n"/>
      <c r="AN92" s="116" t="n"/>
      <c r="AO92" s="116" t="n"/>
      <c r="AP92" s="116" t="n"/>
      <c r="AQ92" s="116" t="n"/>
      <c r="AR92" s="116" t="n"/>
      <c r="AS92" s="116" t="n"/>
      <c r="AT92" s="116" t="n"/>
      <c r="AU92" s="116" t="n"/>
      <c r="AV92" s="116" t="n"/>
      <c r="AX92" s="117">
        <f>WBS!G92</f>
        <v/>
      </c>
      <c r="AY92" s="117">
        <f>WBS!H92</f>
        <v/>
      </c>
      <c r="AZ92" s="115">
        <f>WBS!F92</f>
        <v/>
      </c>
    </row>
    <row r="93" ht="18" customHeight="1">
      <c r="A93" s="115" t="inlineStr">
        <is>
          <t>5.16</t>
        </is>
      </c>
      <c r="B93" s="114">
        <f>WBS!C93</f>
        <v/>
      </c>
      <c r="C93" s="115">
        <f>WBS!D93</f>
        <v/>
      </c>
      <c r="D93" s="116" t="n"/>
      <c r="E93" s="116" t="n"/>
      <c r="F93" s="116" t="n"/>
      <c r="G93" s="116" t="n"/>
      <c r="H93" s="116" t="n"/>
      <c r="I93" s="116" t="n"/>
      <c r="J93" s="116" t="n"/>
      <c r="K93" s="116" t="n"/>
      <c r="L93" s="116" t="n"/>
      <c r="M93" s="116" t="n"/>
      <c r="N93" s="116" t="n"/>
      <c r="O93" s="116" t="n"/>
      <c r="P93" s="116" t="n"/>
      <c r="Q93" s="116" t="n"/>
      <c r="R93" s="116" t="n"/>
      <c r="S93" s="116" t="n"/>
      <c r="T93" s="116" t="n"/>
      <c r="U93" s="116" t="n"/>
      <c r="V93" s="116" t="n"/>
      <c r="W93" s="116" t="n"/>
      <c r="X93" s="116" t="n"/>
      <c r="Y93" s="116" t="n"/>
      <c r="Z93" s="116" t="n"/>
      <c r="AA93" s="116" t="n"/>
      <c r="AB93" s="116" t="n"/>
      <c r="AC93" s="116" t="n"/>
      <c r="AD93" s="116" t="n"/>
      <c r="AE93" s="116" t="n"/>
      <c r="AF93" s="116" t="n"/>
      <c r="AG93" s="116" t="n"/>
      <c r="AH93" s="116" t="n"/>
      <c r="AI93" s="116" t="n"/>
      <c r="AJ93" s="116" t="n"/>
      <c r="AK93" s="116" t="n"/>
      <c r="AL93" s="116" t="n"/>
      <c r="AM93" s="116" t="n"/>
      <c r="AN93" s="116" t="n"/>
      <c r="AO93" s="116" t="n"/>
      <c r="AP93" s="116" t="n"/>
      <c r="AQ93" s="116" t="n"/>
      <c r="AR93" s="116" t="n"/>
      <c r="AS93" s="116" t="n"/>
      <c r="AT93" s="116" t="n"/>
      <c r="AU93" s="116" t="n"/>
      <c r="AV93" s="116" t="n"/>
      <c r="AX93" s="117">
        <f>WBS!G93</f>
        <v/>
      </c>
      <c r="AY93" s="117">
        <f>WBS!H93</f>
        <v/>
      </c>
      <c r="AZ93" s="115">
        <f>WBS!F93</f>
        <v/>
      </c>
    </row>
    <row r="94" ht="18" customHeight="1">
      <c r="A94" s="118" t="inlineStr">
        <is>
          <t>6.0</t>
        </is>
      </c>
      <c r="B94" s="119">
        <f>WBS!C94</f>
        <v/>
      </c>
      <c r="C94" s="118">
        <f>WBS!D94</f>
        <v/>
      </c>
      <c r="D94" s="120" t="n"/>
      <c r="E94" s="120" t="n"/>
      <c r="F94" s="120" t="n"/>
      <c r="G94" s="120" t="n"/>
      <c r="H94" s="120" t="n"/>
      <c r="I94" s="120" t="n"/>
      <c r="J94" s="120" t="n"/>
      <c r="K94" s="120" t="n"/>
      <c r="L94" s="120" t="n"/>
      <c r="M94" s="120" t="n"/>
      <c r="N94" s="120" t="n"/>
      <c r="O94" s="120" t="n"/>
      <c r="P94" s="120" t="n"/>
      <c r="Q94" s="120" t="n"/>
      <c r="R94" s="120" t="n"/>
      <c r="S94" s="120" t="n"/>
      <c r="T94" s="120" t="n"/>
      <c r="U94" s="120" t="n"/>
      <c r="V94" s="120" t="n"/>
      <c r="W94" s="120" t="n"/>
      <c r="X94" s="120" t="n"/>
      <c r="Y94" s="120" t="n"/>
      <c r="Z94" s="120" t="n"/>
      <c r="AA94" s="120" t="n"/>
      <c r="AB94" s="120" t="n"/>
      <c r="AC94" s="120" t="n"/>
      <c r="AD94" s="120" t="n"/>
      <c r="AE94" s="120" t="n"/>
      <c r="AF94" s="120" t="n"/>
      <c r="AG94" s="120" t="n"/>
      <c r="AH94" s="120" t="n"/>
      <c r="AI94" s="120" t="n"/>
      <c r="AJ94" s="120" t="n"/>
      <c r="AK94" s="120" t="n"/>
      <c r="AL94" s="120" t="n"/>
      <c r="AM94" s="120" t="n"/>
      <c r="AN94" s="120" t="n"/>
      <c r="AO94" s="120" t="n"/>
      <c r="AP94" s="120" t="n"/>
      <c r="AQ94" s="120" t="n"/>
      <c r="AR94" s="120" t="n"/>
      <c r="AS94" s="120" t="n"/>
      <c r="AT94" s="120" t="n"/>
      <c r="AU94" s="120" t="n"/>
      <c r="AV94" s="120" t="n"/>
      <c r="AX94" s="121">
        <f>WBS!G94</f>
        <v/>
      </c>
      <c r="AY94" s="121">
        <f>WBS!H94</f>
        <v/>
      </c>
      <c r="AZ94" s="118">
        <f>WBS!F94</f>
        <v/>
      </c>
    </row>
    <row r="95" ht="18" customHeight="1">
      <c r="A95" s="113" t="inlineStr">
        <is>
          <t>6.1</t>
        </is>
      </c>
      <c r="B95" s="114">
        <f>WBS!C95</f>
        <v/>
      </c>
      <c r="C95" s="115">
        <f>WBS!D95</f>
        <v/>
      </c>
      <c r="D95" s="116" t="n"/>
      <c r="E95" s="116" t="n"/>
      <c r="F95" s="116" t="n"/>
      <c r="G95" s="116" t="n"/>
      <c r="H95" s="116" t="n"/>
      <c r="I95" s="116" t="n"/>
      <c r="J95" s="116" t="n"/>
      <c r="K95" s="116" t="n"/>
      <c r="L95" s="116" t="n"/>
      <c r="M95" s="116" t="n"/>
      <c r="N95" s="116" t="n"/>
      <c r="O95" s="116" t="n"/>
      <c r="P95" s="116" t="n"/>
      <c r="Q95" s="116" t="n"/>
      <c r="R95" s="116" t="n"/>
      <c r="S95" s="116" t="n"/>
      <c r="T95" s="116" t="n"/>
      <c r="U95" s="116" t="n"/>
      <c r="V95" s="116" t="n"/>
      <c r="W95" s="116" t="n"/>
      <c r="X95" s="116" t="n"/>
      <c r="Y95" s="116" t="n"/>
      <c r="Z95" s="116" t="n"/>
      <c r="AA95" s="116" t="n"/>
      <c r="AB95" s="116" t="n"/>
      <c r="AC95" s="116" t="n"/>
      <c r="AD95" s="116" t="n"/>
      <c r="AE95" s="116" t="n"/>
      <c r="AF95" s="116" t="n"/>
      <c r="AG95" s="116" t="n"/>
      <c r="AH95" s="116" t="n"/>
      <c r="AI95" s="116" t="n"/>
      <c r="AJ95" s="116" t="n"/>
      <c r="AK95" s="116" t="n"/>
      <c r="AL95" s="116" t="n"/>
      <c r="AM95" s="116" t="n"/>
      <c r="AN95" s="116" t="n"/>
      <c r="AO95" s="116" t="n"/>
      <c r="AP95" s="116" t="n"/>
      <c r="AQ95" s="116" t="n"/>
      <c r="AR95" s="116" t="n"/>
      <c r="AS95" s="116" t="n"/>
      <c r="AT95" s="116" t="n"/>
      <c r="AU95" s="116" t="n"/>
      <c r="AV95" s="116" t="n"/>
      <c r="AX95" s="117">
        <f>WBS!G95</f>
        <v/>
      </c>
      <c r="AY95" s="117">
        <f>WBS!H95</f>
        <v/>
      </c>
      <c r="AZ95" s="115">
        <f>WBS!F95</f>
        <v/>
      </c>
    </row>
    <row r="96" ht="18" customHeight="1">
      <c r="A96" s="113" t="inlineStr">
        <is>
          <t>6.2</t>
        </is>
      </c>
      <c r="B96" s="114">
        <f>WBS!C96</f>
        <v/>
      </c>
      <c r="C96" s="115">
        <f>WBS!D96</f>
        <v/>
      </c>
      <c r="D96" s="116" t="n"/>
      <c r="E96" s="116" t="n"/>
      <c r="F96" s="116" t="n"/>
      <c r="G96" s="116" t="n"/>
      <c r="H96" s="116" t="n"/>
      <c r="I96" s="116" t="n"/>
      <c r="J96" s="116" t="n"/>
      <c r="K96" s="116" t="n"/>
      <c r="L96" s="116" t="n"/>
      <c r="M96" s="116" t="n"/>
      <c r="N96" s="116" t="n"/>
      <c r="O96" s="116" t="n"/>
      <c r="P96" s="116" t="n"/>
      <c r="Q96" s="116" t="n"/>
      <c r="R96" s="116" t="n"/>
      <c r="S96" s="116" t="n"/>
      <c r="T96" s="116" t="n"/>
      <c r="U96" s="116" t="n"/>
      <c r="V96" s="116" t="n"/>
      <c r="W96" s="116" t="n"/>
      <c r="X96" s="116" t="n"/>
      <c r="Y96" s="116" t="n"/>
      <c r="Z96" s="116" t="n"/>
      <c r="AA96" s="116" t="n"/>
      <c r="AB96" s="116" t="n"/>
      <c r="AC96" s="116" t="n"/>
      <c r="AD96" s="116" t="n"/>
      <c r="AE96" s="116" t="n"/>
      <c r="AF96" s="116" t="n"/>
      <c r="AG96" s="116" t="n"/>
      <c r="AH96" s="116" t="n"/>
      <c r="AI96" s="116" t="n"/>
      <c r="AJ96" s="116" t="n"/>
      <c r="AK96" s="116" t="n"/>
      <c r="AL96" s="116" t="n"/>
      <c r="AM96" s="116" t="n"/>
      <c r="AN96" s="116" t="n"/>
      <c r="AO96" s="116" t="n"/>
      <c r="AP96" s="116" t="n"/>
      <c r="AQ96" s="116" t="n"/>
      <c r="AR96" s="116" t="n"/>
      <c r="AS96" s="116" t="n"/>
      <c r="AT96" s="116" t="n"/>
      <c r="AU96" s="116" t="n"/>
      <c r="AV96" s="116" t="n"/>
      <c r="AX96" s="117">
        <f>WBS!G96</f>
        <v/>
      </c>
      <c r="AY96" s="117">
        <f>WBS!H96</f>
        <v/>
      </c>
      <c r="AZ96" s="115">
        <f>WBS!F96</f>
        <v/>
      </c>
    </row>
    <row r="97" ht="18" customHeight="1">
      <c r="A97" s="113" t="inlineStr">
        <is>
          <t>6.3</t>
        </is>
      </c>
      <c r="B97" s="114">
        <f>WBS!C97</f>
        <v/>
      </c>
      <c r="C97" s="115">
        <f>WBS!D97</f>
        <v/>
      </c>
      <c r="D97" s="116" t="n"/>
      <c r="E97" s="116" t="n"/>
      <c r="F97" s="116" t="n"/>
      <c r="G97" s="116" t="n"/>
      <c r="H97" s="116" t="n"/>
      <c r="I97" s="116" t="n"/>
      <c r="J97" s="116" t="n"/>
      <c r="K97" s="116" t="n"/>
      <c r="L97" s="116" t="n"/>
      <c r="M97" s="116" t="n"/>
      <c r="N97" s="116" t="n"/>
      <c r="O97" s="116" t="n"/>
      <c r="P97" s="116" t="n"/>
      <c r="Q97" s="116" t="n"/>
      <c r="R97" s="116" t="n"/>
      <c r="S97" s="116" t="n"/>
      <c r="T97" s="116" t="n"/>
      <c r="U97" s="116" t="n"/>
      <c r="V97" s="116" t="n"/>
      <c r="W97" s="116" t="n"/>
      <c r="X97" s="116" t="n"/>
      <c r="Y97" s="116" t="n"/>
      <c r="Z97" s="116" t="n"/>
      <c r="AA97" s="116" t="n"/>
      <c r="AB97" s="116" t="n"/>
      <c r="AC97" s="116" t="n"/>
      <c r="AD97" s="116" t="n"/>
      <c r="AE97" s="116" t="n"/>
      <c r="AF97" s="116" t="n"/>
      <c r="AG97" s="116" t="n"/>
      <c r="AH97" s="116" t="n"/>
      <c r="AI97" s="116" t="n"/>
      <c r="AJ97" s="116" t="n"/>
      <c r="AK97" s="116" t="n"/>
      <c r="AL97" s="116" t="n"/>
      <c r="AM97" s="116" t="n"/>
      <c r="AN97" s="116" t="n"/>
      <c r="AO97" s="116" t="n"/>
      <c r="AP97" s="116" t="n"/>
      <c r="AQ97" s="116" t="n"/>
      <c r="AR97" s="116" t="n"/>
      <c r="AS97" s="116" t="n"/>
      <c r="AT97" s="116" t="n"/>
      <c r="AU97" s="116" t="n"/>
      <c r="AV97" s="116" t="n"/>
      <c r="AX97" s="117">
        <f>WBS!G97</f>
        <v/>
      </c>
      <c r="AY97" s="117">
        <f>WBS!H97</f>
        <v/>
      </c>
      <c r="AZ97" s="115">
        <f>WBS!F97</f>
        <v/>
      </c>
    </row>
    <row r="98" ht="15" customHeight="1">
      <c r="A98" s="157" t="n"/>
      <c r="B98" s="158" t="n"/>
      <c r="C98" s="157" t="n"/>
      <c r="D98" s="159" t="n"/>
      <c r="E98" s="159" t="n"/>
      <c r="F98" s="159" t="n"/>
      <c r="G98" s="159" t="n"/>
      <c r="H98" s="159" t="n"/>
      <c r="I98" s="159" t="n"/>
      <c r="J98" s="159" t="n"/>
      <c r="K98" s="159" t="n"/>
      <c r="L98" s="159" t="n"/>
      <c r="M98" s="159" t="n"/>
      <c r="N98" s="159" t="n"/>
      <c r="O98" s="159" t="n"/>
      <c r="P98" s="159" t="n"/>
      <c r="Q98" s="159" t="n"/>
      <c r="R98" s="159" t="n"/>
      <c r="S98" s="159" t="n"/>
      <c r="T98" s="159" t="n"/>
      <c r="U98" s="159" t="n"/>
      <c r="V98" s="159" t="n"/>
      <c r="W98" s="159" t="n"/>
      <c r="X98" s="159" t="n"/>
      <c r="Y98" s="159" t="n"/>
      <c r="Z98" s="159" t="n"/>
      <c r="AA98" s="159" t="n"/>
      <c r="AB98" s="159" t="n"/>
      <c r="AC98" s="159" t="n"/>
      <c r="AD98" s="159" t="n"/>
      <c r="AE98" s="159" t="n"/>
      <c r="AF98" s="159" t="n"/>
      <c r="AG98" s="159" t="n"/>
      <c r="AH98" s="159" t="n"/>
      <c r="AI98" s="159" t="n"/>
      <c r="AJ98" s="159" t="n"/>
      <c r="AK98" s="159" t="n"/>
      <c r="AL98" s="159" t="n"/>
      <c r="AM98" s="159" t="n"/>
      <c r="AN98" s="159" t="n"/>
      <c r="AO98" s="159" t="n"/>
      <c r="AP98" s="159" t="n"/>
      <c r="AQ98" s="159" t="n"/>
      <c r="AR98" s="159" t="n"/>
      <c r="AS98" s="159" t="n"/>
      <c r="AT98" s="159" t="n"/>
      <c r="AU98" s="159" t="n"/>
      <c r="AV98" s="159" t="n"/>
      <c r="AW98" s="159" t="n"/>
      <c r="AX98" s="160" t="n"/>
      <c r="AY98" s="160" t="n"/>
      <c r="AZ98" s="157" t="n"/>
    </row>
    <row r="99" ht="15" customHeight="1">
      <c r="A99" s="161" t="n"/>
      <c r="B99" s="158" t="n"/>
      <c r="C99" s="157" t="n"/>
      <c r="D99" s="159" t="n"/>
      <c r="E99" s="159" t="n"/>
      <c r="F99" s="159" t="n"/>
      <c r="G99" s="159" t="n"/>
      <c r="H99" s="159" t="n"/>
      <c r="I99" s="159" t="n"/>
      <c r="J99" s="159" t="n"/>
      <c r="K99" s="159" t="n"/>
      <c r="L99" s="159" t="n"/>
      <c r="M99" s="159" t="n"/>
      <c r="N99" s="159" t="n"/>
      <c r="O99" s="159" t="n"/>
      <c r="P99" s="159" t="n"/>
      <c r="Q99" s="159" t="n"/>
      <c r="R99" s="159" t="n"/>
      <c r="S99" s="159" t="n"/>
      <c r="T99" s="159" t="n"/>
      <c r="U99" s="159" t="n"/>
      <c r="V99" s="159" t="n"/>
      <c r="W99" s="159" t="n"/>
      <c r="X99" s="159" t="n"/>
      <c r="Y99" s="159" t="n"/>
      <c r="Z99" s="159" t="n"/>
      <c r="AA99" s="159" t="n"/>
      <c r="AB99" s="159" t="n"/>
      <c r="AC99" s="159" t="n"/>
      <c r="AD99" s="159" t="n"/>
      <c r="AE99" s="159" t="n"/>
      <c r="AF99" s="159" t="n"/>
      <c r="AG99" s="159" t="n"/>
      <c r="AH99" s="159" t="n"/>
      <c r="AI99" s="159" t="n"/>
      <c r="AJ99" s="159" t="n"/>
      <c r="AK99" s="159" t="n"/>
      <c r="AL99" s="159" t="n"/>
      <c r="AM99" s="159" t="n"/>
      <c r="AN99" s="159" t="n"/>
      <c r="AO99" s="159" t="n"/>
      <c r="AP99" s="159" t="n"/>
      <c r="AQ99" s="159" t="n"/>
      <c r="AR99" s="159" t="n"/>
      <c r="AS99" s="159" t="n"/>
      <c r="AT99" s="159" t="n"/>
      <c r="AU99" s="159" t="n"/>
      <c r="AV99" s="159" t="n"/>
      <c r="AW99" s="159" t="n"/>
      <c r="AX99" s="160" t="n"/>
      <c r="AY99" s="160" t="n"/>
      <c r="AZ99" s="157" t="n"/>
    </row>
    <row r="100" ht="15" customHeight="1">
      <c r="A100" s="161" t="n"/>
      <c r="B100" s="158" t="n"/>
      <c r="C100" s="157" t="n"/>
      <c r="D100" s="159" t="n"/>
      <c r="E100" s="159" t="n"/>
      <c r="F100" s="159" t="n"/>
      <c r="G100" s="159" t="n"/>
      <c r="H100" s="159" t="n"/>
      <c r="I100" s="159" t="n"/>
      <c r="J100" s="159" t="n"/>
      <c r="K100" s="159" t="n"/>
      <c r="L100" s="159" t="n"/>
      <c r="M100" s="159" t="n"/>
      <c r="N100" s="159" t="n"/>
      <c r="O100" s="159" t="n"/>
      <c r="P100" s="159" t="n"/>
      <c r="Q100" s="159" t="n"/>
      <c r="R100" s="159" t="n"/>
      <c r="S100" s="159" t="n"/>
      <c r="T100" s="159" t="n"/>
      <c r="U100" s="159" t="n"/>
      <c r="V100" s="159" t="n"/>
      <c r="W100" s="159" t="n"/>
      <c r="X100" s="159" t="n"/>
      <c r="Y100" s="159" t="n"/>
      <c r="Z100" s="159" t="n"/>
      <c r="AA100" s="159" t="n"/>
      <c r="AB100" s="159" t="n"/>
      <c r="AC100" s="159" t="n"/>
      <c r="AD100" s="159" t="n"/>
      <c r="AE100" s="159" t="n"/>
      <c r="AF100" s="159" t="n"/>
      <c r="AG100" s="159" t="n"/>
      <c r="AH100" s="159" t="n"/>
      <c r="AI100" s="159" t="n"/>
      <c r="AJ100" s="159" t="n"/>
      <c r="AK100" s="159" t="n"/>
      <c r="AL100" s="159" t="n"/>
      <c r="AM100" s="159" t="n"/>
      <c r="AN100" s="159" t="n"/>
      <c r="AO100" s="159" t="n"/>
      <c r="AP100" s="159" t="n"/>
      <c r="AQ100" s="159" t="n"/>
      <c r="AR100" s="159" t="n"/>
      <c r="AS100" s="159" t="n"/>
      <c r="AT100" s="159" t="n"/>
      <c r="AU100" s="159" t="n"/>
      <c r="AV100" s="159" t="n"/>
      <c r="AW100" s="159" t="n"/>
      <c r="AX100" s="160" t="n"/>
      <c r="AY100" s="160" t="n"/>
      <c r="AZ100" s="157" t="n"/>
    </row>
    <row r="101" ht="15" customHeight="1">
      <c r="A101" s="161" t="n"/>
      <c r="B101" s="158" t="n"/>
      <c r="C101" s="157" t="n"/>
      <c r="D101" s="159" t="n"/>
      <c r="E101" s="159" t="n"/>
      <c r="F101" s="159" t="n"/>
      <c r="G101" s="159" t="n"/>
      <c r="H101" s="159" t="n"/>
      <c r="I101" s="159" t="n"/>
      <c r="J101" s="159" t="n"/>
      <c r="K101" s="159" t="n"/>
      <c r="L101" s="159" t="n"/>
      <c r="M101" s="159" t="n"/>
      <c r="N101" s="159" t="n"/>
      <c r="O101" s="159" t="n"/>
      <c r="P101" s="159" t="n"/>
      <c r="Q101" s="159" t="n"/>
      <c r="R101" s="159" t="n"/>
      <c r="S101" s="159" t="n"/>
      <c r="T101" s="159" t="n"/>
      <c r="U101" s="159" t="n"/>
      <c r="V101" s="159" t="n"/>
      <c r="W101" s="159" t="n"/>
      <c r="X101" s="159" t="n"/>
      <c r="Y101" s="159" t="n"/>
      <c r="Z101" s="159" t="n"/>
      <c r="AA101" s="159" t="n"/>
      <c r="AB101" s="159" t="n"/>
      <c r="AC101" s="159" t="n"/>
      <c r="AD101" s="159" t="n"/>
      <c r="AE101" s="159" t="n"/>
      <c r="AF101" s="159" t="n"/>
      <c r="AG101" s="159" t="n"/>
      <c r="AH101" s="159" t="n"/>
      <c r="AI101" s="159" t="n"/>
      <c r="AJ101" s="159" t="n"/>
      <c r="AK101" s="159" t="n"/>
      <c r="AL101" s="159" t="n"/>
      <c r="AM101" s="159" t="n"/>
      <c r="AN101" s="159" t="n"/>
      <c r="AO101" s="159" t="n"/>
      <c r="AP101" s="159" t="n"/>
      <c r="AQ101" s="159" t="n"/>
      <c r="AR101" s="159" t="n"/>
      <c r="AS101" s="159" t="n"/>
      <c r="AT101" s="159" t="n"/>
      <c r="AU101" s="159" t="n"/>
      <c r="AV101" s="159" t="n"/>
      <c r="AW101" s="159" t="n"/>
      <c r="AX101" s="160" t="n"/>
      <c r="AY101" s="160" t="n"/>
      <c r="AZ101" s="157" t="n"/>
    </row>
    <row r="102">
      <c r="A102" s="162" t="n"/>
      <c r="B102" s="162" t="n"/>
      <c r="C102" s="162" t="n"/>
      <c r="D102" s="162" t="n"/>
      <c r="E102" s="162" t="n"/>
      <c r="F102" s="162" t="n"/>
      <c r="G102" s="162" t="n"/>
      <c r="H102" s="162" t="n"/>
      <c r="I102" s="162" t="n"/>
      <c r="J102" s="159" t="n"/>
      <c r="K102" s="159" t="n"/>
      <c r="L102" s="159" t="n"/>
      <c r="M102" s="159" t="n"/>
      <c r="N102" s="159" t="n"/>
      <c r="O102" s="159" t="n"/>
      <c r="P102" s="159" t="n"/>
      <c r="Q102" s="159" t="n"/>
      <c r="R102" s="159" t="n"/>
      <c r="S102" s="159" t="n"/>
      <c r="T102" s="159" t="n"/>
      <c r="U102" s="159" t="n"/>
      <c r="V102" s="159" t="n"/>
      <c r="W102" s="159" t="n"/>
      <c r="X102" s="159" t="n"/>
      <c r="Y102" s="159" t="n"/>
      <c r="Z102" s="159" t="n"/>
      <c r="AA102" s="159" t="n"/>
      <c r="AB102" s="159" t="n"/>
      <c r="AC102" s="159" t="n"/>
      <c r="AD102" s="159" t="n"/>
      <c r="AE102" s="159" t="n"/>
      <c r="AF102" s="159" t="n"/>
      <c r="AG102" s="159" t="n"/>
      <c r="AH102" s="159" t="n"/>
      <c r="AI102" s="159" t="n"/>
      <c r="AJ102" s="159" t="n"/>
      <c r="AK102" s="159" t="n"/>
      <c r="AL102" s="159" t="n"/>
      <c r="AM102" s="159" t="n"/>
      <c r="AN102" s="159" t="n"/>
      <c r="AO102" s="159" t="n"/>
      <c r="AP102" s="159" t="n"/>
      <c r="AQ102" s="159" t="n"/>
      <c r="AR102" s="159" t="n"/>
      <c r="AS102" s="159" t="n"/>
      <c r="AT102" s="159" t="n"/>
      <c r="AU102" s="159" t="n"/>
      <c r="AV102" s="159" t="n"/>
      <c r="AW102" s="159" t="n"/>
      <c r="AX102" s="159" t="n"/>
      <c r="AY102" s="159" t="n"/>
      <c r="AZ102" s="159" t="n"/>
    </row>
    <row r="103">
      <c r="A103" s="163" t="n"/>
      <c r="B103" s="107" t="n"/>
      <c r="C103" s="107" t="n"/>
      <c r="D103" s="107" t="n"/>
      <c r="E103" s="107" t="n"/>
      <c r="F103" s="107" t="n"/>
      <c r="G103" s="107" t="n"/>
      <c r="H103" s="107" t="n"/>
      <c r="I103" s="107" t="n"/>
    </row>
    <row r="104" ht="18" customHeight="1">
      <c r="A104" s="162" t="n"/>
      <c r="B104" s="174" t="inlineStr">
        <is>
          <t>범례</t>
        </is>
      </c>
      <c r="C104" s="162" t="n"/>
      <c r="D104" s="175" t="n"/>
      <c r="E104" s="162" t="inlineStr">
        <is>
          <t>완료</t>
        </is>
      </c>
      <c r="F104" s="162" t="n"/>
      <c r="G104" s="162" t="n"/>
      <c r="H104" s="162" t="n"/>
      <c r="I104" s="176" t="n"/>
      <c r="J104" s="162" t="inlineStr">
        <is>
          <t>진행중</t>
        </is>
      </c>
      <c r="K104" s="159" t="n"/>
      <c r="L104" s="162" t="n"/>
      <c r="M104" s="159" t="n"/>
      <c r="N104" s="177" t="n"/>
      <c r="O104" s="162" t="inlineStr">
        <is>
          <t>미착수</t>
        </is>
      </c>
      <c r="P104" s="159" t="n"/>
      <c r="Q104" s="159" t="n"/>
      <c r="R104" s="159" t="n"/>
      <c r="S104" s="178" t="n"/>
      <c r="T104" s="162" t="inlineStr">
        <is>
          <t>지연</t>
        </is>
      </c>
      <c r="U104" s="159" t="n"/>
      <c r="V104" s="159" t="n"/>
      <c r="W104" s="159" t="n"/>
      <c r="X104" s="179" t="n"/>
      <c r="Y104" s="162" t="inlineStr">
        <is>
          <t>주말</t>
        </is>
      </c>
      <c r="Z104" s="159" t="n"/>
      <c r="AA104" s="159" t="n"/>
      <c r="AB104" s="159" t="n"/>
      <c r="AC104" s="169" t="n"/>
      <c r="AD104" s="162" t="inlineStr">
        <is>
          <t>오늘</t>
        </is>
      </c>
      <c r="AE104" s="159" t="n"/>
      <c r="AF104" s="159" t="n"/>
      <c r="AG104" s="159" t="n"/>
      <c r="AH104" s="159" t="n"/>
      <c r="AI104" s="159" t="n"/>
      <c r="AJ104" s="159" t="n"/>
      <c r="AK104" s="159" t="n"/>
      <c r="AL104" s="159" t="n"/>
      <c r="AM104" s="159" t="n"/>
      <c r="AN104" s="159" t="n"/>
      <c r="AO104" s="159" t="n"/>
      <c r="AP104" s="159" t="n"/>
      <c r="AQ104" s="159" t="n"/>
      <c r="AR104" s="159" t="n"/>
      <c r="AS104" s="159" t="n"/>
      <c r="AT104" s="159" t="n"/>
      <c r="AU104" s="159" t="n"/>
      <c r="AV104" s="159" t="n"/>
      <c r="AW104" s="159" t="n"/>
      <c r="AX104" s="159" t="n"/>
      <c r="AY104" s="159" t="n"/>
      <c r="AZ104" s="159" t="n"/>
    </row>
    <row r="105">
      <c r="A105" s="107" t="inlineStr">
        <is>
          <t>★ (WBS ID 빨간 글씨) = 임계경로.  담당 · 날짜 · 상태는 WBS 시트 기준 자동 동기화됩니다.</t>
        </is>
      </c>
      <c r="B105" s="107" t="n"/>
      <c r="C105" s="107" t="n"/>
      <c r="D105" s="107" t="n"/>
      <c r="E105" s="107" t="n"/>
      <c r="F105" s="107" t="n"/>
      <c r="G105" s="107" t="n"/>
      <c r="H105" s="107" t="n"/>
      <c r="I105" s="107" t="n"/>
    </row>
  </sheetData>
  <mergeCells count="2">
    <mergeCell ref="A2:AZ2"/>
    <mergeCell ref="A1:AZ1"/>
  </mergeCells>
  <conditionalFormatting sqref="D4:AV101">
    <cfRule type="expression" priority="1" dxfId="14">
      <formula>D$4=TODAY()</formula>
    </cfRule>
  </conditionalFormatting>
  <conditionalFormatting sqref="D6:AV101">
    <cfRule type="expression" priority="2" dxfId="15">
      <formula>AND($AX6&lt;&gt;"",D$4&gt;=$AX6,D$4&lt;=$AY6,$AZ6="완료")</formula>
    </cfRule>
    <cfRule type="expression" priority="3" dxfId="16">
      <formula>AND($AX6&lt;&gt;"",D$4&gt;=$AX6,D$4&lt;=$AY6,$AZ6="진행중")</formula>
    </cfRule>
    <cfRule type="expression" priority="4" dxfId="17">
      <formula>AND($AX6&lt;&gt;"",D$4&gt;=$AX6,D$4&lt;=$AY6,$AZ6="미착수")</formula>
    </cfRule>
    <cfRule type="expression" priority="5" dxfId="18">
      <formula>AND($AX6&lt;&gt;"",D$4&gt;=$AX6,D$4&lt;=$AY6,$AZ6="지연")</formula>
    </cfRule>
    <cfRule type="expression" priority="6" dxfId="19">
      <formula>WEEKDAY(D$4,2)&gt;5</formula>
    </cfRule>
  </conditionalFormatting>
  <conditionalFormatting sqref="D5:AV5">
    <cfRule type="expression" priority="7" dxfId="20">
      <formula>WEEKDAY(D$4,2)&gt;5</formula>
    </cfRule>
  </conditionalFormatting>
  <conditionalFormatting sqref="AZ6:AZ101">
    <cfRule type="expression" priority="8" dxfId="21">
      <formula>$AZ6="완료"</formula>
    </cfRule>
    <cfRule type="expression" priority="9" dxfId="22">
      <formula>$AZ6="진행중"</formula>
    </cfRule>
    <cfRule type="expression" priority="10" dxfId="23">
      <formula>$AZ6="미착수"</formula>
    </cfRule>
    <cfRule type="expression" priority="11" dxfId="24">
      <formula>$AZ6="지연"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164B2"/>
    <outlinePr summaryBelow="1" summaryRight="1"/>
    <pageSetUpPr/>
  </sheetPr>
  <dimension ref="A1:L1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62" customWidth="1" min="3" max="3"/>
    <col width="7" customWidth="1" min="4" max="4"/>
    <col width="9" customWidth="1" min="5" max="5"/>
    <col width="9" customWidth="1" min="6" max="6"/>
    <col width="11" customWidth="1" min="7" max="7"/>
    <col width="11" customWidth="1" min="8" max="8"/>
    <col width="9" customWidth="1" min="9" max="9"/>
    <col width="24" customWidth="1" min="10" max="10"/>
    <col width="9" customWidth="1" min="11" max="11"/>
    <col width="6" customWidth="1" min="12" max="12"/>
  </cols>
  <sheetData>
    <row r="1" ht="32" customHeight="1">
      <c r="A1" s="108" t="inlineStr">
        <is>
          <t>2026 파이널 프로젝트 WBS v2.0 — OpsLoop (실시간 위협 탐지·대응 관제 플랫폼)</t>
        </is>
      </c>
    </row>
    <row r="2" ht="20" customHeight="1">
      <c r="A2" s="85" t="inlineStr">
        <is>
          <t>기간: 2026.09.02(수) ~ 10.16(금)  |  1인 프로젝트  |  2차 피드백 반영 개정 (2026.09.18) · 화면 설계 반영 (2026.09.19) · 연구소장 피드백 반영 (2026.09.22)  |  매 주차 종료 시점 시연 가능 상태 유지</t>
        </is>
      </c>
    </row>
    <row r="3" ht="8" customHeight="1"/>
    <row r="4" ht="24" customHeight="1">
      <c r="A4" s="89" t="inlineStr">
        <is>
          <t>WBS ID</t>
        </is>
      </c>
      <c r="B4" s="89" t="inlineStr">
        <is>
          <t>구분</t>
        </is>
      </c>
      <c r="C4" s="89" t="inlineStr">
        <is>
          <t>작업명</t>
        </is>
      </c>
      <c r="D4" s="89" t="inlineStr">
        <is>
          <t>영역</t>
        </is>
      </c>
      <c r="E4" s="89" t="inlineStr">
        <is>
          <t>담당</t>
        </is>
      </c>
      <c r="F4" s="89" t="inlineStr">
        <is>
          <t>상태</t>
        </is>
      </c>
      <c r="G4" s="89" t="inlineStr">
        <is>
          <t>시작</t>
        </is>
      </c>
      <c r="H4" s="89" t="inlineStr">
        <is>
          <t>종료</t>
        </is>
      </c>
      <c r="I4" s="89" t="inlineStr">
        <is>
          <t>기간(일)</t>
        </is>
      </c>
      <c r="J4" s="89" t="inlineStr">
        <is>
          <t>산출물</t>
        </is>
      </c>
      <c r="K4" s="89" t="inlineStr">
        <is>
          <t>임계경로</t>
        </is>
      </c>
      <c r="L4" s="89" t="inlineStr">
        <is>
          <t>레벨</t>
        </is>
      </c>
    </row>
    <row r="5" ht="22" customHeight="1">
      <c r="A5" s="103" t="inlineStr">
        <is>
          <t>1.0</t>
        </is>
      </c>
      <c r="B5" s="103" t="inlineStr">
        <is>
          <t>기획</t>
        </is>
      </c>
      <c r="C5" s="130" t="inlineStr">
        <is>
          <t>[기획 단계]</t>
        </is>
      </c>
      <c r="D5" s="103" t="n"/>
      <c r="E5" s="103" t="n"/>
      <c r="F5" s="131" t="n"/>
      <c r="G5" s="170" t="n"/>
      <c r="H5" s="170" t="n"/>
      <c r="I5" s="103" t="n"/>
      <c r="J5" s="133" t="n"/>
      <c r="K5" s="103" t="n"/>
      <c r="L5" s="103" t="n">
        <v>0</v>
      </c>
    </row>
    <row r="6" ht="20" customHeight="1">
      <c r="A6" s="134" t="inlineStr">
        <is>
          <t>1.1</t>
        </is>
      </c>
      <c r="B6" s="134" t="inlineStr">
        <is>
          <t>기획</t>
        </is>
      </c>
      <c r="C6" s="135" t="inlineStr">
        <is>
          <t>주제 확정 및 1차 계획서 작성</t>
        </is>
      </c>
      <c r="D6" s="134" t="inlineStr">
        <is>
          <t>-</t>
        </is>
      </c>
      <c r="E6" s="134" t="inlineStr">
        <is>
          <t>한성민</t>
        </is>
      </c>
      <c r="F6" s="134" t="inlineStr">
        <is>
          <t>완료</t>
        </is>
      </c>
      <c r="G6" s="171" t="n">
        <v>46259</v>
      </c>
      <c r="H6" s="171" t="n">
        <v>46266</v>
      </c>
      <c r="I6" s="134">
        <f>IF(AND(G6&lt;&gt;"",H6&lt;&gt;""),H6-G6+1,"")</f>
        <v/>
      </c>
      <c r="J6" s="135" t="inlineStr">
        <is>
          <t>1차 계획서·요약 PPT</t>
        </is>
      </c>
      <c r="K6" s="137" t="inlineStr">
        <is>
          <t>★</t>
        </is>
      </c>
      <c r="L6" s="134" t="n">
        <v>1</v>
      </c>
    </row>
    <row r="7" ht="20" customHeight="1">
      <c r="A7" s="134" t="inlineStr">
        <is>
          <t>1.2</t>
        </is>
      </c>
      <c r="B7" s="134" t="inlineStr">
        <is>
          <t>기획</t>
        </is>
      </c>
      <c r="C7" s="135" t="inlineStr">
        <is>
          <t>요구사항 정의 · 우선순위 3계층 확정</t>
        </is>
      </c>
      <c r="D7" s="134" t="inlineStr">
        <is>
          <t>-</t>
        </is>
      </c>
      <c r="E7" s="134" t="inlineStr">
        <is>
          <t>한성민</t>
        </is>
      </c>
      <c r="F7" s="134" t="inlineStr">
        <is>
          <t>완료</t>
        </is>
      </c>
      <c r="G7" s="171" t="n">
        <v>46264</v>
      </c>
      <c r="H7" s="171" t="n">
        <v>46266</v>
      </c>
      <c r="I7" s="134">
        <f>IF(AND(G7&lt;&gt;"",H7&lt;&gt;""),H7-G7+1,"")</f>
        <v/>
      </c>
      <c r="J7" s="135" t="inlineStr">
        <is>
          <t>서비스 기능 정의서(초안)</t>
        </is>
      </c>
      <c r="K7" s="137" t="inlineStr">
        <is>
          <t>★</t>
        </is>
      </c>
      <c r="L7" s="134" t="n">
        <v>1</v>
      </c>
    </row>
    <row r="8" ht="20" customHeight="1">
      <c r="A8" s="134" t="inlineStr">
        <is>
          <t>1.3</t>
        </is>
      </c>
      <c r="B8" s="134" t="inlineStr">
        <is>
          <t>기획</t>
        </is>
      </c>
      <c r="C8" s="135" t="inlineStr">
        <is>
          <t>WBS v1.0 작성 및 산출물 체계 확정</t>
        </is>
      </c>
      <c r="D8" s="134" t="inlineStr">
        <is>
          <t>-</t>
        </is>
      </c>
      <c r="E8" s="134" t="inlineStr">
        <is>
          <t>한성민</t>
        </is>
      </c>
      <c r="F8" s="134" t="inlineStr">
        <is>
          <t>완료</t>
        </is>
      </c>
      <c r="G8" s="171" t="n">
        <v>46267</v>
      </c>
      <c r="H8" s="171" t="n">
        <v>46267</v>
      </c>
      <c r="I8" s="134">
        <f>IF(AND(G8&lt;&gt;"",H8&lt;&gt;""),H8-G8+1,"")</f>
        <v/>
      </c>
      <c r="J8" s="135" t="inlineStr">
        <is>
          <t>WBS</t>
        </is>
      </c>
      <c r="K8" s="137" t="inlineStr">
        <is>
          <t>★</t>
        </is>
      </c>
      <c r="L8" s="134" t="n">
        <v>1</v>
      </c>
    </row>
    <row r="9" ht="20" customHeight="1">
      <c r="A9" s="134" t="inlineStr">
        <is>
          <t>1.4</t>
        </is>
      </c>
      <c r="B9" s="134" t="inlineStr">
        <is>
          <t>기획</t>
        </is>
      </c>
      <c r="C9" s="135" t="inlineStr">
        <is>
          <t>프로젝트 요약서(4장) 작성 및 제출</t>
        </is>
      </c>
      <c r="D9" s="134" t="inlineStr">
        <is>
          <t>-</t>
        </is>
      </c>
      <c r="E9" s="134" t="inlineStr">
        <is>
          <t>한성민</t>
        </is>
      </c>
      <c r="F9" s="134" t="inlineStr">
        <is>
          <t>완료</t>
        </is>
      </c>
      <c r="G9" s="171" t="n">
        <v>46281</v>
      </c>
      <c r="H9" s="171" t="n">
        <v>46282</v>
      </c>
      <c r="I9" s="134">
        <f>IF(AND(G9&lt;&gt;"",H9&lt;&gt;""),H9-G9+1,"")</f>
        <v/>
      </c>
      <c r="J9" s="135" t="inlineStr">
        <is>
          <t>프로젝트 요약서</t>
        </is>
      </c>
      <c r="K9" s="137" t="inlineStr">
        <is>
          <t>★</t>
        </is>
      </c>
      <c r="L9" s="134" t="n">
        <v>1</v>
      </c>
    </row>
    <row r="10" ht="20" customHeight="1">
      <c r="A10" s="134" t="inlineStr">
        <is>
          <t>1.5</t>
        </is>
      </c>
      <c r="B10" s="134" t="inlineStr">
        <is>
          <t>기획</t>
        </is>
      </c>
      <c r="C10" s="135" t="inlineStr">
        <is>
          <t>2차 피드백 반영 방향 확정 (디코이 · 관문 방화벽 · 가상화)</t>
        </is>
      </c>
      <c r="D10" s="134" t="inlineStr">
        <is>
          <t>-</t>
        </is>
      </c>
      <c r="E10" s="134" t="inlineStr">
        <is>
          <t>한성민</t>
        </is>
      </c>
      <c r="F10" s="134" t="inlineStr">
        <is>
          <t>완료</t>
        </is>
      </c>
      <c r="G10" s="171" t="n">
        <v>46282</v>
      </c>
      <c r="H10" s="171" t="n">
        <v>46283</v>
      </c>
      <c r="I10" s="134">
        <f>IF(AND(G10&lt;&gt;"",H10&lt;&gt;""),H10-G10+1,"")</f>
        <v/>
      </c>
      <c r="J10" s="135" t="inlineStr">
        <is>
          <t>계획 개정 문서</t>
        </is>
      </c>
      <c r="K10" s="137" t="inlineStr">
        <is>
          <t>★</t>
        </is>
      </c>
      <c r="L10" s="134" t="n">
        <v>1</v>
      </c>
    </row>
    <row r="11" ht="20" customHeight="1">
      <c r="A11" s="134" t="inlineStr">
        <is>
          <t>1.6</t>
        </is>
      </c>
      <c r="B11" s="134" t="inlineStr">
        <is>
          <t>기획</t>
        </is>
      </c>
      <c r="C11" s="135" t="inlineStr">
        <is>
          <t>범위 재조정 — 삭제 · 연기 항목 확정 (WBS v2.0)</t>
        </is>
      </c>
      <c r="D11" s="134" t="inlineStr">
        <is>
          <t>-</t>
        </is>
      </c>
      <c r="E11" s="134" t="inlineStr">
        <is>
          <t>한성민</t>
        </is>
      </c>
      <c r="F11" s="134" t="inlineStr">
        <is>
          <t>완료</t>
        </is>
      </c>
      <c r="G11" s="171" t="n">
        <v>46283</v>
      </c>
      <c r="H11" s="171" t="n">
        <v>46284</v>
      </c>
      <c r="I11" s="134">
        <f>IF(AND(G11&lt;&gt;"",H11&lt;&gt;""),H11-G11+1,"")</f>
        <v/>
      </c>
      <c r="J11" s="135" t="inlineStr">
        <is>
          <t>WBS v2.0</t>
        </is>
      </c>
      <c r="K11" s="137" t="inlineStr">
        <is>
          <t>★</t>
        </is>
      </c>
      <c r="L11" s="134" t="n">
        <v>1</v>
      </c>
    </row>
    <row r="12" ht="20" customHeight="1">
      <c r="A12" s="134" t="inlineStr">
        <is>
          <t>1.7</t>
        </is>
      </c>
      <c r="B12" s="134" t="inlineStr">
        <is>
          <t>기획</t>
        </is>
      </c>
      <c r="C12" s="135" t="inlineStr">
        <is>
          <t>상시 가동 서버 가용성 확인 → 전개 방식 확정 (클라우드 DMZ + 가상화 내부망)</t>
        </is>
      </c>
      <c r="D12" s="134" t="inlineStr">
        <is>
          <t>A</t>
        </is>
      </c>
      <c r="E12" s="134" t="inlineStr">
        <is>
          <t>한성민</t>
        </is>
      </c>
      <c r="F12" s="134" t="inlineStr">
        <is>
          <t>완료</t>
        </is>
      </c>
      <c r="G12" s="171" t="n">
        <v>46283</v>
      </c>
      <c r="H12" s="171" t="n">
        <v>46284</v>
      </c>
      <c r="I12" s="134">
        <f>IF(AND(G12&lt;&gt;"",H12&lt;&gt;""),H12-G12+1,"")</f>
        <v/>
      </c>
      <c r="J12" s="135" t="inlineStr">
        <is>
          <t>아키텍처 결정 기록</t>
        </is>
      </c>
      <c r="K12" s="137" t="inlineStr">
        <is>
          <t>★</t>
        </is>
      </c>
      <c r="L12" s="134" t="n">
        <v>1</v>
      </c>
    </row>
    <row r="13" ht="22" customHeight="1">
      <c r="A13" s="103" t="inlineStr">
        <is>
          <t>2.0</t>
        </is>
      </c>
      <c r="B13" s="103" t="inlineStr">
        <is>
          <t>설계</t>
        </is>
      </c>
      <c r="C13" s="130" t="inlineStr">
        <is>
          <t>[설계 단계]</t>
        </is>
      </c>
      <c r="D13" s="103" t="n"/>
      <c r="E13" s="103" t="n"/>
      <c r="F13" s="131" t="n"/>
      <c r="G13" s="170" t="n"/>
      <c r="H13" s="170" t="n"/>
      <c r="I13" s="103" t="n"/>
      <c r="J13" s="133" t="n"/>
      <c r="K13" s="103" t="n"/>
      <c r="L13" s="103" t="n">
        <v>0</v>
      </c>
    </row>
    <row r="14" ht="20" customHeight="1">
      <c r="A14" s="134" t="inlineStr">
        <is>
          <t>2.1</t>
        </is>
      </c>
      <c r="B14" s="134" t="inlineStr">
        <is>
          <t>설계</t>
        </is>
      </c>
      <c r="C14" s="135" t="inlineStr">
        <is>
          <t>공통 로그 스키마 확정 (전 파이프라인의 전제)</t>
        </is>
      </c>
      <c r="D14" s="134" t="inlineStr">
        <is>
          <t>B</t>
        </is>
      </c>
      <c r="E14" s="134" t="inlineStr">
        <is>
          <t>한성민</t>
        </is>
      </c>
      <c r="F14" s="134" t="inlineStr">
        <is>
          <t>완료</t>
        </is>
      </c>
      <c r="G14" s="171" t="n">
        <v>46268</v>
      </c>
      <c r="H14" s="171" t="n">
        <v>46270</v>
      </c>
      <c r="I14" s="134">
        <f>IF(AND(G14&lt;&gt;"",H14&lt;&gt;""),H14-G14+1,"")</f>
        <v/>
      </c>
      <c r="J14" s="135" t="inlineStr">
        <is>
          <t>API 스펙 문서</t>
        </is>
      </c>
      <c r="K14" s="137" t="inlineStr">
        <is>
          <t>★</t>
        </is>
      </c>
      <c r="L14" s="134" t="n">
        <v>1</v>
      </c>
    </row>
    <row r="15" ht="20" customHeight="1">
      <c r="A15" s="134" t="inlineStr">
        <is>
          <t>2.2</t>
        </is>
      </c>
      <c r="B15" s="134" t="inlineStr">
        <is>
          <t>설계</t>
        </is>
      </c>
      <c r="C15" s="135" t="inlineStr">
        <is>
          <t>데이터 모델링 (규칙 · 인시던트 · 판정 · 차단 · 노드)</t>
        </is>
      </c>
      <c r="D15" s="134" t="inlineStr">
        <is>
          <t>B</t>
        </is>
      </c>
      <c r="E15" s="134" t="inlineStr">
        <is>
          <t>한성민</t>
        </is>
      </c>
      <c r="F15" s="134" t="inlineStr">
        <is>
          <t>완료</t>
        </is>
      </c>
      <c r="G15" s="171" t="n">
        <v>46269</v>
      </c>
      <c r="H15" s="171" t="n">
        <v>46285</v>
      </c>
      <c r="I15" s="134">
        <f>IF(AND(G15&lt;&gt;"",H15&lt;&gt;""),H15-G15+1,"")</f>
        <v/>
      </c>
      <c r="J15" s="135" t="inlineStr">
        <is>
          <t>테이블 정의서</t>
        </is>
      </c>
      <c r="K15" s="137" t="inlineStr">
        <is>
          <t>★</t>
        </is>
      </c>
      <c r="L15" s="134" t="n">
        <v>1</v>
      </c>
    </row>
    <row r="16" ht="20" customHeight="1">
      <c r="A16" s="134" t="inlineStr">
        <is>
          <t>2.3</t>
        </is>
      </c>
      <c r="B16" s="134" t="inlineStr">
        <is>
          <t>설계</t>
        </is>
      </c>
      <c r="C16" s="135" t="inlineStr">
        <is>
          <t>인시던트 판정 기준 확정 (실제위협·무시가능·오탐)</t>
        </is>
      </c>
      <c r="D16" s="134" t="inlineStr">
        <is>
          <t>D</t>
        </is>
      </c>
      <c r="E16" s="134" t="inlineStr">
        <is>
          <t>한성민</t>
        </is>
      </c>
      <c r="F16" s="134" t="inlineStr">
        <is>
          <t>완료</t>
        </is>
      </c>
      <c r="G16" s="171" t="n">
        <v>46270</v>
      </c>
      <c r="H16" s="171" t="n">
        <v>46271</v>
      </c>
      <c r="I16" s="134">
        <f>IF(AND(G16&lt;&gt;"",H16&lt;&gt;""),H16-G16+1,"")</f>
        <v/>
      </c>
      <c r="J16" s="135" t="inlineStr">
        <is>
          <t>판정 기준 문서</t>
        </is>
      </c>
      <c r="K16" s="137" t="inlineStr">
        <is>
          <t>★</t>
        </is>
      </c>
      <c r="L16" s="134" t="n">
        <v>1</v>
      </c>
    </row>
    <row r="17" ht="20" customHeight="1">
      <c r="A17" s="134" t="inlineStr">
        <is>
          <t>2.4</t>
        </is>
      </c>
      <c r="B17" s="134" t="inlineStr">
        <is>
          <t>설계</t>
        </is>
      </c>
      <c r="C17" s="135" t="inlineStr">
        <is>
          <t>탐지 평가 함수 인터페이스 설계 (규칙버전 · 시간구간 인자)</t>
        </is>
      </c>
      <c r="D17" s="134" t="inlineStr">
        <is>
          <t>B</t>
        </is>
      </c>
      <c r="E17" s="134" t="inlineStr">
        <is>
          <t>한성민</t>
        </is>
      </c>
      <c r="F17" s="134" t="inlineStr">
        <is>
          <t>완료</t>
        </is>
      </c>
      <c r="G17" s="171" t="n">
        <v>46271</v>
      </c>
      <c r="H17" s="171" t="n">
        <v>46272</v>
      </c>
      <c r="I17" s="134">
        <f>IF(AND(G17&lt;&gt;"",H17&lt;&gt;""),H17-G17+1,"")</f>
        <v/>
      </c>
      <c r="J17" s="135" t="inlineStr">
        <is>
          <t>프로그램 설계서</t>
        </is>
      </c>
      <c r="K17" s="137" t="inlineStr">
        <is>
          <t>★</t>
        </is>
      </c>
      <c r="L17" s="134" t="n">
        <v>1</v>
      </c>
    </row>
    <row r="18" ht="20" customHeight="1">
      <c r="A18" s="134" t="inlineStr">
        <is>
          <t>2.5</t>
        </is>
      </c>
      <c r="B18" s="134" t="inlineStr">
        <is>
          <t>설계</t>
        </is>
      </c>
      <c r="C18" s="135" t="inlineStr">
        <is>
          <t>하이브리드 네트워크 설계 (대역 · 경로 · 방화벽 규칙표)</t>
        </is>
      </c>
      <c r="D18" s="134" t="inlineStr">
        <is>
          <t>A</t>
        </is>
      </c>
      <c r="E18" s="134" t="inlineStr">
        <is>
          <t>한성민</t>
        </is>
      </c>
      <c r="F18" s="134" t="inlineStr">
        <is>
          <t>완료</t>
        </is>
      </c>
      <c r="G18" s="171" t="n">
        <v>46283</v>
      </c>
      <c r="H18" s="171" t="n">
        <v>46285</v>
      </c>
      <c r="I18" s="134">
        <f>IF(AND(G18&lt;&gt;"",H18&lt;&gt;""),H18-G18+1,"")</f>
        <v/>
      </c>
      <c r="J18" s="135" t="inlineStr">
        <is>
          <t>네트워크 설계서</t>
        </is>
      </c>
      <c r="K18" s="137" t="inlineStr">
        <is>
          <t>★</t>
        </is>
      </c>
      <c r="L18" s="134" t="n">
        <v>1</v>
      </c>
    </row>
    <row r="19" ht="20" customHeight="1">
      <c r="A19" s="134" t="inlineStr">
        <is>
          <t>2.6</t>
        </is>
      </c>
      <c r="B19" s="134" t="inlineStr">
        <is>
          <t>설계</t>
        </is>
      </c>
      <c r="C19" s="135" t="inlineStr">
        <is>
          <t>서버 · 네트워크 구성도 v6 (AWS DMZ + 온프레미스)</t>
        </is>
      </c>
      <c r="D19" s="134" t="inlineStr">
        <is>
          <t>A</t>
        </is>
      </c>
      <c r="E19" s="134" t="inlineStr">
        <is>
          <t>한성민</t>
        </is>
      </c>
      <c r="F19" s="134" t="inlineStr">
        <is>
          <t>완료</t>
        </is>
      </c>
      <c r="G19" s="171" t="n">
        <v>46285</v>
      </c>
      <c r="H19" s="171" t="n">
        <v>46286</v>
      </c>
      <c r="I19" s="134">
        <f>IF(AND(G19&lt;&gt;"",H19&lt;&gt;""),H19-G19+1,"")</f>
        <v/>
      </c>
      <c r="J19" s="135" t="inlineStr">
        <is>
          <t>시스템 구성도</t>
        </is>
      </c>
      <c r="K19" s="137" t="inlineStr">
        <is>
          <t>★</t>
        </is>
      </c>
      <c r="L19" s="134" t="n">
        <v>1</v>
      </c>
    </row>
    <row r="20" ht="20" customHeight="1">
      <c r="A20" s="134" t="inlineStr">
        <is>
          <t>2.7</t>
        </is>
      </c>
      <c r="B20" s="134" t="inlineStr">
        <is>
          <t>설계</t>
        </is>
      </c>
      <c r="C20" s="135" t="inlineStr">
        <is>
          <t>웹 디코이 설계 (콘솔과 동일한 인증 로그 형식)</t>
        </is>
      </c>
      <c r="D20" s="134" t="inlineStr">
        <is>
          <t>B</t>
        </is>
      </c>
      <c r="E20" s="134" t="inlineStr">
        <is>
          <t>한성민</t>
        </is>
      </c>
      <c r="F20" s="134" t="inlineStr">
        <is>
          <t>완료</t>
        </is>
      </c>
      <c r="G20" s="171" t="n">
        <v>46284</v>
      </c>
      <c r="H20" s="171" t="n">
        <v>46285</v>
      </c>
      <c r="I20" s="134">
        <f>IF(AND(G20&lt;&gt;"",H20&lt;&gt;""),H20-G20+1,"")</f>
        <v/>
      </c>
      <c r="J20" s="135" t="inlineStr">
        <is>
          <t>프로그램 설계서</t>
        </is>
      </c>
      <c r="K20" s="137" t="inlineStr">
        <is>
          <t>★</t>
        </is>
      </c>
      <c r="L20" s="134" t="n">
        <v>1</v>
      </c>
    </row>
    <row r="21" ht="20" customHeight="1">
      <c r="A21" s="134" t="inlineStr">
        <is>
          <t>2.8</t>
        </is>
      </c>
      <c r="B21" s="134" t="inlineStr">
        <is>
          <t>설계</t>
        </is>
      </c>
      <c r="C21" s="135" t="inlineStr">
        <is>
          <t>화면 설계 (인시던트 목록 · 상세 · 판정 · 대시보드)</t>
        </is>
      </c>
      <c r="D21" s="134" t="inlineStr">
        <is>
          <t>C</t>
        </is>
      </c>
      <c r="E21" s="134" t="inlineStr">
        <is>
          <t>한성민</t>
        </is>
      </c>
      <c r="F21" s="134" t="inlineStr">
        <is>
          <t>완료</t>
        </is>
      </c>
      <c r="G21" s="171" t="n">
        <v>46284</v>
      </c>
      <c r="H21" s="171" t="n">
        <v>46286</v>
      </c>
      <c r="I21" s="134">
        <f>IF(AND(G21&lt;&gt;"",H21&lt;&gt;""),H21-G21+1,"")</f>
        <v/>
      </c>
      <c r="J21" s="135" t="inlineStr">
        <is>
          <t>화면설계서</t>
        </is>
      </c>
      <c r="K21" s="137" t="inlineStr">
        <is>
          <t>★</t>
        </is>
      </c>
      <c r="L21" s="134" t="n">
        <v>1</v>
      </c>
    </row>
    <row r="22" ht="20" customHeight="1">
      <c r="A22" s="134" t="inlineStr">
        <is>
          <t>2.9</t>
        </is>
      </c>
      <c r="B22" s="134" t="inlineStr">
        <is>
          <t>설계</t>
        </is>
      </c>
      <c r="C22" s="135" t="inlineStr">
        <is>
          <t>전체 구성도 · 역할 분담도 개정</t>
        </is>
      </c>
      <c r="D22" s="134" t="inlineStr">
        <is>
          <t>-</t>
        </is>
      </c>
      <c r="E22" s="134" t="inlineStr">
        <is>
          <t>한성민</t>
        </is>
      </c>
      <c r="F22" s="134" t="inlineStr">
        <is>
          <t>완료</t>
        </is>
      </c>
      <c r="G22" s="171" t="n">
        <v>46288</v>
      </c>
      <c r="H22" s="171" t="n">
        <v>46288</v>
      </c>
      <c r="I22" s="134">
        <f>IF(AND(G22&lt;&gt;"",H22&lt;&gt;""),H22-G22+1,"")</f>
        <v/>
      </c>
      <c r="J22" s="135" t="inlineStr">
        <is>
          <t>시스템 구성도</t>
        </is>
      </c>
      <c r="K22" s="134" t="n"/>
      <c r="L22" s="134" t="n">
        <v>1</v>
      </c>
    </row>
    <row r="23" ht="22" customHeight="1">
      <c r="A23" s="103" t="inlineStr">
        <is>
          <t>3.0</t>
        </is>
      </c>
      <c r="B23" s="103" t="inlineStr">
        <is>
          <t>개발</t>
        </is>
      </c>
      <c r="C23" s="130" t="inlineStr">
        <is>
          <t>[개발 단계]</t>
        </is>
      </c>
      <c r="D23" s="103" t="n"/>
      <c r="E23" s="103" t="n"/>
      <c r="F23" s="131" t="n"/>
      <c r="G23" s="170" t="n"/>
      <c r="H23" s="170" t="n"/>
      <c r="I23" s="103" t="n"/>
      <c r="J23" s="133" t="n"/>
      <c r="K23" s="103" t="n"/>
      <c r="L23" s="103" t="n">
        <v>0</v>
      </c>
    </row>
    <row r="24" ht="20" customHeight="1">
      <c r="A24" s="134" t="inlineStr">
        <is>
          <t>3.1</t>
        </is>
      </c>
      <c r="B24" s="134" t="inlineStr">
        <is>
          <t>개발</t>
        </is>
      </c>
      <c r="C24" s="135" t="inlineStr">
        <is>
          <t>[A] AWS DMZ 재구성</t>
        </is>
      </c>
      <c r="D24" s="134" t="inlineStr">
        <is>
          <t>A</t>
        </is>
      </c>
      <c r="E24" s="134" t="inlineStr">
        <is>
          <t>한성민</t>
        </is>
      </c>
      <c r="F24" s="134" t="inlineStr">
        <is>
          <t>진행중</t>
        </is>
      </c>
      <c r="G24" s="171" t="n">
        <v>46288</v>
      </c>
      <c r="H24" s="171" t="n">
        <v>46294</v>
      </c>
      <c r="I24" s="134">
        <f>IF(AND(G24&lt;&gt;"",H24&lt;&gt;""),H24-G24+1,"")</f>
        <v/>
      </c>
      <c r="J24" s="135" t="inlineStr">
        <is>
          <t>인프라 코드</t>
        </is>
      </c>
      <c r="K24" s="137" t="inlineStr">
        <is>
          <t>★</t>
        </is>
      </c>
      <c r="L24" s="134" t="n">
        <v>1</v>
      </c>
    </row>
    <row r="25" ht="20" customHeight="1">
      <c r="A25" s="138" t="inlineStr">
        <is>
          <t>3.1.1</t>
        </is>
      </c>
      <c r="B25" s="138" t="n"/>
      <c r="C25" s="139" t="inlineStr">
        <is>
          <t xml:space="preserve">    ▸ VPC · 서브넷 · 라우팅 Terraform 정의</t>
        </is>
      </c>
      <c r="D25" s="138" t="inlineStr">
        <is>
          <t>A</t>
        </is>
      </c>
      <c r="E25" s="138" t="inlineStr">
        <is>
          <t>한성민</t>
        </is>
      </c>
      <c r="F25" s="134" t="inlineStr">
        <is>
          <t>완료</t>
        </is>
      </c>
      <c r="G25" s="172" t="n">
        <v>46287</v>
      </c>
      <c r="H25" s="172" t="n">
        <v>46288</v>
      </c>
      <c r="I25" s="138">
        <f>IF(AND(G25&lt;&gt;"",H25&lt;&gt;""),H25-G25+1,"")</f>
        <v/>
      </c>
      <c r="J25" s="139" t="inlineStr">
        <is>
          <t>인프라 코드</t>
        </is>
      </c>
      <c r="K25" s="137" t="inlineStr">
        <is>
          <t>★</t>
        </is>
      </c>
      <c r="L25" s="138" t="n">
        <v>2</v>
      </c>
    </row>
    <row r="26" ht="20" customHeight="1">
      <c r="A26" s="138" t="inlineStr">
        <is>
          <t>3.1.2</t>
        </is>
      </c>
      <c r="B26" s="138" t="n"/>
      <c r="C26" s="139" t="inlineStr">
        <is>
          <t xml:space="preserve">    ▸ 관문 방화벽 인스턴스 (포트 전달 · 차단 로그 · SSM 전용 엔드포인트 · DMZ 유출 전면 차단)</t>
        </is>
      </c>
      <c r="D26" s="138" t="inlineStr">
        <is>
          <t>A</t>
        </is>
      </c>
      <c r="E26" s="138" t="inlineStr">
        <is>
          <t>한성민</t>
        </is>
      </c>
      <c r="F26" s="134" t="inlineStr">
        <is>
          <t>완료</t>
        </is>
      </c>
      <c r="G26" s="172" t="n">
        <v>46287</v>
      </c>
      <c r="H26" s="172" t="n">
        <v>46288</v>
      </c>
      <c r="I26" s="138">
        <f>IF(AND(G26&lt;&gt;"",H26&lt;&gt;""),H26-G26+1,"")</f>
        <v/>
      </c>
      <c r="J26" s="139" t="inlineStr">
        <is>
          <t>인프라 코드 · 방화벽 규칙</t>
        </is>
      </c>
      <c r="K26" s="137" t="inlineStr">
        <is>
          <t>★</t>
        </is>
      </c>
      <c r="L26" s="138" t="n">
        <v>2</v>
      </c>
    </row>
    <row r="27" ht="20" customHeight="1">
      <c r="A27" s="138" t="inlineStr">
        <is>
          <t>3.1.3</t>
        </is>
      </c>
      <c r="B27" s="138" t="n"/>
      <c r="C27" s="139" t="inlineStr">
        <is>
          <t xml:space="preserve">    ▸ 허니팟 사설 서브넷 이전 (이미지 전 비밀 검사 · 로그 승계)</t>
        </is>
      </c>
      <c r="D27" s="138" t="inlineStr">
        <is>
          <t>A</t>
        </is>
      </c>
      <c r="E27" s="138" t="inlineStr">
        <is>
          <t>한성민</t>
        </is>
      </c>
      <c r="F27" s="134" t="inlineStr">
        <is>
          <t>완료</t>
        </is>
      </c>
      <c r="G27" s="172" t="n">
        <v>46288</v>
      </c>
      <c r="H27" s="172" t="n">
        <v>46288</v>
      </c>
      <c r="I27" s="138">
        <f>IF(AND(G27&lt;&gt;"",H27&lt;&gt;""),H27-G27+1,"")</f>
        <v/>
      </c>
      <c r="J27" s="139" t="inlineStr">
        <is>
          <t>이전 기록</t>
        </is>
      </c>
      <c r="K27" s="137" t="inlineStr">
        <is>
          <t>★</t>
        </is>
      </c>
      <c r="L27" s="138" t="n">
        <v>2</v>
      </c>
    </row>
    <row r="28" ht="20" customHeight="1">
      <c r="A28" s="138" t="inlineStr">
        <is>
          <t>3.1.4</t>
        </is>
      </c>
      <c r="B28" s="138" t="n"/>
      <c r="C28" s="139" t="inlineStr">
        <is>
          <t xml:space="preserve">    ▸ 노드별 S3 쓰기 경계 · 관문 별도 역할 · DB 역할 최소 권한 (슈퍼유저 제거)</t>
        </is>
      </c>
      <c r="D28" s="138" t="inlineStr">
        <is>
          <t>A</t>
        </is>
      </c>
      <c r="E28" s="138" t="inlineStr">
        <is>
          <t>한성민</t>
        </is>
      </c>
      <c r="F28" s="134" t="inlineStr">
        <is>
          <t>완료</t>
        </is>
      </c>
      <c r="G28" s="172" t="n">
        <v>46288</v>
      </c>
      <c r="H28" s="172" t="n">
        <v>46289</v>
      </c>
      <c r="I28" s="138">
        <f>IF(AND(G28&lt;&gt;"",H28&lt;&gt;""),H28-G28+1,"")</f>
        <v/>
      </c>
      <c r="J28" s="139" t="inlineStr">
        <is>
          <t>인프라 코드 · DB 역할 정의</t>
        </is>
      </c>
      <c r="K28" s="137" t="inlineStr">
        <is>
          <t>★</t>
        </is>
      </c>
      <c r="L28" s="138" t="n">
        <v>2</v>
      </c>
    </row>
    <row r="29" ht="20" customHeight="1">
      <c r="A29" s="138" t="inlineStr">
        <is>
          <t>3.1.5</t>
        </is>
      </c>
      <c r="B29" s="138" t="n"/>
      <c r="C29" s="139" t="inlineStr">
        <is>
          <t xml:space="preserve">    ▸ 구 앱 노드 정리 · 기간 비용 재확인</t>
        </is>
      </c>
      <c r="D29" s="138" t="inlineStr">
        <is>
          <t>A</t>
        </is>
      </c>
      <c r="E29" s="138" t="inlineStr">
        <is>
          <t>한성민</t>
        </is>
      </c>
      <c r="F29" s="134" t="inlineStr">
        <is>
          <t>진행중</t>
        </is>
      </c>
      <c r="G29" s="172" t="n">
        <v>46290</v>
      </c>
      <c r="H29" s="172" t="n">
        <v>46294</v>
      </c>
      <c r="I29" s="138">
        <f>IF(AND(G29&lt;&gt;"",H29&lt;&gt;""),H29-G29+1,"")</f>
        <v/>
      </c>
      <c r="J29" s="139" t="inlineStr">
        <is>
          <t>비용 산정표</t>
        </is>
      </c>
      <c r="K29" s="138" t="n"/>
      <c r="L29" s="138" t="n">
        <v>2</v>
      </c>
    </row>
    <row r="30" ht="20" customHeight="1">
      <c r="A30" s="134" t="inlineStr">
        <is>
          <t>3.2</t>
        </is>
      </c>
      <c r="B30" s="134" t="inlineStr">
        <is>
          <t>개발</t>
        </is>
      </c>
      <c r="C30" s="135" t="inlineStr">
        <is>
          <t>[B] 웹 디코이 (선행 노출로 수집 시간 확보)</t>
        </is>
      </c>
      <c r="D30" s="134" t="inlineStr">
        <is>
          <t>B</t>
        </is>
      </c>
      <c r="E30" s="134" t="inlineStr">
        <is>
          <t>한성민</t>
        </is>
      </c>
      <c r="F30" s="134" t="inlineStr">
        <is>
          <t>완료</t>
        </is>
      </c>
      <c r="G30" s="171" t="n">
        <v>46284</v>
      </c>
      <c r="H30" s="171" t="n">
        <v>46291</v>
      </c>
      <c r="I30" s="134">
        <f>IF(AND(G30&lt;&gt;"",H30&lt;&gt;""),H30-G30+1,"")</f>
        <v/>
      </c>
      <c r="J30" s="135" t="inlineStr">
        <is>
          <t>소스코드</t>
        </is>
      </c>
      <c r="K30" s="137" t="inlineStr">
        <is>
          <t>★</t>
        </is>
      </c>
      <c r="L30" s="134" t="n">
        <v>1</v>
      </c>
    </row>
    <row r="31" ht="20" customHeight="1">
      <c r="A31" s="138" t="inlineStr">
        <is>
          <t>3.2.1</t>
        </is>
      </c>
      <c r="B31" s="138" t="n"/>
      <c r="C31" s="139" t="inlineStr">
        <is>
          <t xml:space="preserve">    ▸ 가짜 admin 로그인 · 행위 기록 구현</t>
        </is>
      </c>
      <c r="D31" s="138" t="inlineStr">
        <is>
          <t>B</t>
        </is>
      </c>
      <c r="E31" s="138" t="inlineStr">
        <is>
          <t>한성민</t>
        </is>
      </c>
      <c r="F31" s="134" t="inlineStr">
        <is>
          <t>완료</t>
        </is>
      </c>
      <c r="G31" s="172" t="n">
        <v>46284</v>
      </c>
      <c r="H31" s="172" t="n">
        <v>46286</v>
      </c>
      <c r="I31" s="138">
        <f>IF(AND(G31&lt;&gt;"",H31&lt;&gt;""),H31-G31+1,"")</f>
        <v/>
      </c>
      <c r="J31" s="139" t="inlineStr">
        <is>
          <t>소스코드</t>
        </is>
      </c>
      <c r="K31" s="137" t="inlineStr">
        <is>
          <t>★</t>
        </is>
      </c>
      <c r="L31" s="138" t="n">
        <v>2</v>
      </c>
    </row>
    <row r="32" ht="20" customHeight="1">
      <c r="A32" s="138" t="inlineStr">
        <is>
          <t>3.2.2</t>
        </is>
      </c>
      <c r="B32" s="138" t="n"/>
      <c r="C32" s="139" t="inlineStr">
        <is>
          <t xml:space="preserve">    ▸ 현행 환경에 선행 노출 및 수집 시작</t>
        </is>
      </c>
      <c r="D32" s="138" t="inlineStr">
        <is>
          <t>B</t>
        </is>
      </c>
      <c r="E32" s="138" t="inlineStr">
        <is>
          <t>한성민</t>
        </is>
      </c>
      <c r="F32" s="134" t="inlineStr">
        <is>
          <t>완료</t>
        </is>
      </c>
      <c r="G32" s="172" t="n">
        <v>46286</v>
      </c>
      <c r="H32" s="172" t="n">
        <v>46287</v>
      </c>
      <c r="I32" s="138">
        <f>IF(AND(G32&lt;&gt;"",H32&lt;&gt;""),H32-G32+1,"")</f>
        <v/>
      </c>
      <c r="J32" s="139" t="inlineStr">
        <is>
          <t>수집 로그</t>
        </is>
      </c>
      <c r="K32" s="137" t="inlineStr">
        <is>
          <t>★</t>
        </is>
      </c>
      <c r="L32" s="138" t="n">
        <v>2</v>
      </c>
    </row>
    <row r="33" ht="20" customHeight="1">
      <c r="A33" s="138" t="inlineStr">
        <is>
          <t>3.2.3</t>
        </is>
      </c>
      <c r="B33" s="138" t="n"/>
      <c r="C33" s="139" t="inlineStr">
        <is>
          <t xml:space="preserve">    ▸ 디코이 로그 정규화 (공통 스키마 편입)</t>
        </is>
      </c>
      <c r="D33" s="138" t="inlineStr">
        <is>
          <t>B</t>
        </is>
      </c>
      <c r="E33" s="138" t="inlineStr">
        <is>
          <t>한성민</t>
        </is>
      </c>
      <c r="F33" s="134" t="inlineStr">
        <is>
          <t>완료</t>
        </is>
      </c>
      <c r="G33" s="172" t="n">
        <v>46289</v>
      </c>
      <c r="H33" s="172" t="n">
        <v>46291</v>
      </c>
      <c r="I33" s="138">
        <f>IF(AND(G33&lt;&gt;"",H33&lt;&gt;""),H33-G33+1,"")</f>
        <v/>
      </c>
      <c r="J33" s="139" t="inlineStr">
        <is>
          <t>소스코드</t>
        </is>
      </c>
      <c r="K33" s="138" t="n"/>
      <c r="L33" s="138" t="n">
        <v>2</v>
      </c>
    </row>
    <row r="34" ht="20" customHeight="1">
      <c r="A34" s="134" t="inlineStr">
        <is>
          <t>3.3</t>
        </is>
      </c>
      <c r="B34" s="134" t="inlineStr">
        <is>
          <t>개발</t>
        </is>
      </c>
      <c r="C34" s="135" t="inlineStr">
        <is>
          <t>[A] 온프레미스 내부망 구축 (가상화)</t>
        </is>
      </c>
      <c r="D34" s="134" t="inlineStr">
        <is>
          <t>A</t>
        </is>
      </c>
      <c r="E34" s="134" t="inlineStr">
        <is>
          <t>한성민</t>
        </is>
      </c>
      <c r="F34" s="134" t="inlineStr">
        <is>
          <t>완료</t>
        </is>
      </c>
      <c r="G34" s="171" t="n">
        <v>46287</v>
      </c>
      <c r="H34" s="171" t="n">
        <v>46293</v>
      </c>
      <c r="I34" s="134">
        <f>IF(AND(G34&lt;&gt;"",H34&lt;&gt;""),H34-G34+1,"")</f>
        <v/>
      </c>
      <c r="J34" s="135" t="inlineStr">
        <is>
          <t>배포 환경</t>
        </is>
      </c>
      <c r="K34" s="137" t="inlineStr">
        <is>
          <t>★</t>
        </is>
      </c>
      <c r="L34" s="134" t="n">
        <v>1</v>
      </c>
    </row>
    <row r="35" ht="20" customHeight="1">
      <c r="A35" s="138" t="inlineStr">
        <is>
          <t>3.3.1</t>
        </is>
      </c>
      <c r="B35" s="138" t="n"/>
      <c r="C35" s="139" t="inlineStr">
        <is>
          <t xml:space="preserve">    ▸ VM 5대 생성 (보호 대상 시험 서버 web-01 포함) · 가상 스위치로 세그먼트 분리</t>
        </is>
      </c>
      <c r="D35" s="138" t="inlineStr">
        <is>
          <t>A</t>
        </is>
      </c>
      <c r="E35" s="138" t="inlineStr">
        <is>
          <t>한성민</t>
        </is>
      </c>
      <c r="F35" s="134" t="inlineStr">
        <is>
          <t>완료</t>
        </is>
      </c>
      <c r="G35" s="172" t="n">
        <v>46287</v>
      </c>
      <c r="H35" s="172" t="n">
        <v>46289</v>
      </c>
      <c r="I35" s="138">
        <f>IF(AND(G35&lt;&gt;"",H35&lt;&gt;""),H35-G35+1,"")</f>
        <v/>
      </c>
      <c r="J35" s="139" t="inlineStr">
        <is>
          <t>배포 환경</t>
        </is>
      </c>
      <c r="K35" s="137" t="inlineStr">
        <is>
          <t>★</t>
        </is>
      </c>
      <c r="L35" s="138" t="n">
        <v>2</v>
      </c>
    </row>
    <row r="36" ht="20" customHeight="1">
      <c r="A36" s="138" t="inlineStr">
        <is>
          <t>3.3.2</t>
        </is>
      </c>
      <c r="B36" s="138" t="n"/>
      <c r="C36" s="139" t="inlineStr">
        <is>
          <t xml:space="preserve">    ▸ 내부 방화벽 규칙 적용 및 통신 검증</t>
        </is>
      </c>
      <c r="D36" s="138" t="inlineStr">
        <is>
          <t>A</t>
        </is>
      </c>
      <c r="E36" s="138" t="inlineStr">
        <is>
          <t>한성민</t>
        </is>
      </c>
      <c r="F36" s="134" t="inlineStr">
        <is>
          <t>완료</t>
        </is>
      </c>
      <c r="G36" s="172" t="n">
        <v>46289</v>
      </c>
      <c r="H36" s="172" t="n">
        <v>46290</v>
      </c>
      <c r="I36" s="138">
        <f>IF(AND(G36&lt;&gt;"",H36&lt;&gt;""),H36-G36+1,"")</f>
        <v/>
      </c>
      <c r="J36" s="139" t="inlineStr">
        <is>
          <t>방화벽 규칙표</t>
        </is>
      </c>
      <c r="K36" s="137" t="inlineStr">
        <is>
          <t>★</t>
        </is>
      </c>
      <c r="L36" s="138" t="n">
        <v>2</v>
      </c>
    </row>
    <row r="37" ht="20" customHeight="1">
      <c r="A37" s="138" t="inlineStr">
        <is>
          <t>3.3.3</t>
        </is>
      </c>
      <c r="B37" s="138" t="n"/>
      <c r="C37" s="139" t="inlineStr">
        <is>
          <t xml:space="preserve">    ▸ HAProxy 구성 (콘솔 A · B 분배)</t>
        </is>
      </c>
      <c r="D37" s="138" t="inlineStr">
        <is>
          <t>A</t>
        </is>
      </c>
      <c r="E37" s="138" t="inlineStr">
        <is>
          <t>한성민</t>
        </is>
      </c>
      <c r="F37" s="134" t="inlineStr">
        <is>
          <t>완료</t>
        </is>
      </c>
      <c r="G37" s="172" t="n">
        <v>46290</v>
      </c>
      <c r="H37" s="172" t="n">
        <v>46291</v>
      </c>
      <c r="I37" s="138">
        <f>IF(AND(G37&lt;&gt;"",H37&lt;&gt;""),H37-G37+1,"")</f>
        <v/>
      </c>
      <c r="J37" s="139" t="inlineStr">
        <is>
          <t>설정 파일</t>
        </is>
      </c>
      <c r="K37" s="138" t="n"/>
      <c r="L37" s="138" t="n">
        <v>2</v>
      </c>
    </row>
    <row r="38" ht="20" customHeight="1">
      <c r="A38" s="138" t="inlineStr">
        <is>
          <t>3.3.4</t>
        </is>
      </c>
      <c r="B38" s="138" t="n"/>
      <c r="C38" s="139" t="inlineStr">
        <is>
          <t xml:space="preserve">    ▸ 데이터베이스 · 애플리케이션 이전</t>
        </is>
      </c>
      <c r="D38" s="138" t="inlineStr">
        <is>
          <t>A</t>
        </is>
      </c>
      <c r="E38" s="138" t="inlineStr">
        <is>
          <t>한성민</t>
        </is>
      </c>
      <c r="F38" s="134" t="inlineStr">
        <is>
          <t>완료</t>
        </is>
      </c>
      <c r="G38" s="172" t="n">
        <v>46291</v>
      </c>
      <c r="H38" s="172" t="n">
        <v>46293</v>
      </c>
      <c r="I38" s="138">
        <f>IF(AND(G38&lt;&gt;"",H38&lt;&gt;""),H38-G38+1,"")</f>
        <v/>
      </c>
      <c r="J38" s="139" t="inlineStr">
        <is>
          <t>이전 검증 기록</t>
        </is>
      </c>
      <c r="K38" s="137" t="inlineStr">
        <is>
          <t>★</t>
        </is>
      </c>
      <c r="L38" s="138" t="n">
        <v>2</v>
      </c>
    </row>
    <row r="39" ht="20" customHeight="1">
      <c r="A39" s="138" t="inlineStr">
        <is>
          <t>3.3.5</t>
        </is>
      </c>
      <c r="B39" s="138" t="n"/>
      <c r="C39" s="139" t="inlineStr">
        <is>
          <t xml:space="preserve">    ▸ 관리망 VPN (Tailscale · WireGuard 기반) · 모바일 접속</t>
        </is>
      </c>
      <c r="D39" s="138" t="inlineStr">
        <is>
          <t>A</t>
        </is>
      </c>
      <c r="E39" s="138" t="inlineStr">
        <is>
          <t>한성민</t>
        </is>
      </c>
      <c r="F39" s="134" t="inlineStr">
        <is>
          <t>완료</t>
        </is>
      </c>
      <c r="G39" s="172" t="n">
        <v>46292</v>
      </c>
      <c r="H39" s="172" t="n">
        <v>46293</v>
      </c>
      <c r="I39" s="138">
        <f>IF(AND(G39&lt;&gt;"",H39&lt;&gt;""),H39-G39+1,"")</f>
        <v/>
      </c>
      <c r="J39" s="139" t="inlineStr">
        <is>
          <t>설정 파일</t>
        </is>
      </c>
      <c r="K39" s="138" t="n"/>
      <c r="L39" s="138" t="n">
        <v>2</v>
      </c>
    </row>
    <row r="40" ht="20" customHeight="1">
      <c r="A40" s="134" t="inlineStr">
        <is>
          <t>3.4</t>
        </is>
      </c>
      <c r="B40" s="134" t="inlineStr">
        <is>
          <t>개발</t>
        </is>
      </c>
      <c r="C40" s="135" t="inlineStr">
        <is>
          <t>[B] 수집 파이프라인</t>
        </is>
      </c>
      <c r="D40" s="134" t="inlineStr">
        <is>
          <t>B</t>
        </is>
      </c>
      <c r="E40" s="134" t="inlineStr">
        <is>
          <t>한성민</t>
        </is>
      </c>
      <c r="F40" s="134" t="inlineStr">
        <is>
          <t>완료</t>
        </is>
      </c>
      <c r="G40" s="171" t="n">
        <v>46286</v>
      </c>
      <c r="H40" s="171" t="n">
        <v>46288</v>
      </c>
      <c r="I40" s="134">
        <f>IF(AND(G40&lt;&gt;"",H40&lt;&gt;""),H40-G40+1,"")</f>
        <v/>
      </c>
      <c r="J40" s="135" t="inlineStr">
        <is>
          <t>소스코드</t>
        </is>
      </c>
      <c r="K40" s="137" t="inlineStr">
        <is>
          <t>★</t>
        </is>
      </c>
      <c r="L40" s="134" t="n">
        <v>1</v>
      </c>
    </row>
    <row r="41" ht="20" customHeight="1">
      <c r="A41" s="138" t="inlineStr">
        <is>
          <t>3.4.1</t>
        </is>
      </c>
      <c r="B41" s="138" t="n"/>
      <c r="C41" s="139" t="inlineStr">
        <is>
          <t xml:space="preserve">    ▸ S3 가져오기 · 소급 적재</t>
        </is>
      </c>
      <c r="D41" s="138" t="inlineStr">
        <is>
          <t>B</t>
        </is>
      </c>
      <c r="E41" s="138" t="inlineStr">
        <is>
          <t>한성민</t>
        </is>
      </c>
      <c r="F41" s="134" t="inlineStr">
        <is>
          <t>완료</t>
        </is>
      </c>
      <c r="G41" s="172" t="n">
        <v>46286</v>
      </c>
      <c r="H41" s="172" t="n">
        <v>46288</v>
      </c>
      <c r="I41" s="138">
        <f>IF(AND(G41&lt;&gt;"",H41&lt;&gt;""),H41-G41+1,"")</f>
        <v/>
      </c>
      <c r="J41" s="139" t="inlineStr">
        <is>
          <t>소스코드</t>
        </is>
      </c>
      <c r="K41" s="137" t="inlineStr">
        <is>
          <t>★</t>
        </is>
      </c>
      <c r="L41" s="138" t="n">
        <v>2</v>
      </c>
    </row>
    <row r="42" ht="20" customHeight="1">
      <c r="A42" s="138" t="inlineStr">
        <is>
          <t>3.4.2</t>
        </is>
      </c>
      <c r="B42" s="138" t="n"/>
      <c r="C42" s="139" t="inlineStr">
        <is>
          <t xml:space="preserve">    ▸ Grafana Alloy · Loki 구성</t>
        </is>
      </c>
      <c r="D42" s="138" t="inlineStr">
        <is>
          <t>B</t>
        </is>
      </c>
      <c r="E42" s="138" t="inlineStr">
        <is>
          <t>한성민</t>
        </is>
      </c>
      <c r="F42" s="134" t="inlineStr">
        <is>
          <t>완료</t>
        </is>
      </c>
      <c r="G42" s="172" t="n">
        <v>46294</v>
      </c>
      <c r="H42" s="172" t="n">
        <v>46295</v>
      </c>
      <c r="I42" s="138">
        <f>IF(AND(G42&lt;&gt;"",H42&lt;&gt;""),H42-G42+1,"")</f>
        <v/>
      </c>
      <c r="J42" s="139" t="inlineStr">
        <is>
          <t>설정 파일</t>
        </is>
      </c>
      <c r="K42" s="138" t="n"/>
      <c r="L42" s="138" t="n">
        <v>2</v>
      </c>
    </row>
    <row r="43" ht="20" customHeight="1">
      <c r="A43" s="138" t="inlineStr">
        <is>
          <t>3.4.3</t>
        </is>
      </c>
      <c r="B43" s="138" t="n"/>
      <c r="C43" s="139" t="inlineStr">
        <is>
          <t xml:space="preserve">    ▸ 에이전트 자동 등록 (Ansible · 1회용 토큰) · 노드 추가 화면 (S-13)</t>
        </is>
      </c>
      <c r="D43" s="138" t="inlineStr">
        <is>
          <t>B</t>
        </is>
      </c>
      <c r="E43" s="138" t="inlineStr">
        <is>
          <t>한성민</t>
        </is>
      </c>
      <c r="F43" s="134" t="inlineStr">
        <is>
          <t>완료</t>
        </is>
      </c>
      <c r="G43" s="172" t="n">
        <v>46286</v>
      </c>
      <c r="H43" s="172" t="n">
        <v>46288</v>
      </c>
      <c r="I43" s="138">
        <f>IF(AND(G43&lt;&gt;"",H43&lt;&gt;""),H43-G43+1,"")</f>
        <v/>
      </c>
      <c r="J43" s="139" t="inlineStr">
        <is>
          <t>배포 스크립트</t>
        </is>
      </c>
      <c r="K43" s="138" t="n"/>
      <c r="L43" s="138" t="n">
        <v>2</v>
      </c>
    </row>
    <row r="44" ht="20" customHeight="1">
      <c r="A44" s="138" t="inlineStr">
        <is>
          <t>3.4.4</t>
        </is>
      </c>
      <c r="B44" s="138" t="n"/>
      <c r="C44" s="139" t="inlineStr">
        <is>
          <t xml:space="preserve">    ▸ 미등록 에이전트 탐지 · 점검 모드 (통보만 묶고 수집 · 탐지 유지)</t>
        </is>
      </c>
      <c r="D44" s="138" t="inlineStr">
        <is>
          <t>B</t>
        </is>
      </c>
      <c r="E44" s="138" t="inlineStr">
        <is>
          <t>한성민</t>
        </is>
      </c>
      <c r="F44" s="134" t="inlineStr">
        <is>
          <t>완료</t>
        </is>
      </c>
      <c r="G44" s="172" t="n">
        <v>46286</v>
      </c>
      <c r="H44" s="172" t="n">
        <v>46288</v>
      </c>
      <c r="I44" s="138">
        <f>IF(AND(G44&lt;&gt;"",H44&lt;&gt;""),H44-G44+1,"")</f>
        <v/>
      </c>
      <c r="J44" s="139" t="inlineStr">
        <is>
          <t>소스코드</t>
        </is>
      </c>
      <c r="K44" s="138" t="n"/>
      <c r="L44" s="138" t="n">
        <v>2</v>
      </c>
    </row>
    <row r="45" ht="20" customHeight="1">
      <c r="A45" s="134" t="inlineStr">
        <is>
          <t>3.5</t>
        </is>
      </c>
      <c r="B45" s="134" t="inlineStr">
        <is>
          <t>개발</t>
        </is>
      </c>
      <c r="C45" s="135" t="inlineStr">
        <is>
          <t>[B] 탐지 엔진 보강</t>
        </is>
      </c>
      <c r="D45" s="134" t="inlineStr">
        <is>
          <t>B</t>
        </is>
      </c>
      <c r="E45" s="134" t="inlineStr">
        <is>
          <t>한성민</t>
        </is>
      </c>
      <c r="F45" s="134" t="inlineStr">
        <is>
          <t>진행중</t>
        </is>
      </c>
      <c r="G45" s="171" t="n">
        <v>46286</v>
      </c>
      <c r="H45" s="171" t="n">
        <v>46304</v>
      </c>
      <c r="I45" s="134">
        <f>IF(AND(G45&lt;&gt;"",H45&lt;&gt;""),H45-G45+1,"")</f>
        <v/>
      </c>
      <c r="J45" s="135" t="inlineStr">
        <is>
          <t>소스코드</t>
        </is>
      </c>
      <c r="K45" s="137" t="inlineStr">
        <is>
          <t>★</t>
        </is>
      </c>
      <c r="L45" s="134" t="n">
        <v>1</v>
      </c>
    </row>
    <row r="46" ht="20" customHeight="1">
      <c r="A46" s="138" t="inlineStr">
        <is>
          <t>3.5.1</t>
        </is>
      </c>
      <c r="B46" s="138" t="n"/>
      <c r="C46" s="139" t="inlineStr">
        <is>
          <t xml:space="preserve">    ▸ 웹 인증 로그 규칙군 신설 (R101~)</t>
        </is>
      </c>
      <c r="D46" s="138" t="inlineStr">
        <is>
          <t>B</t>
        </is>
      </c>
      <c r="E46" s="138" t="inlineStr">
        <is>
          <t>한성민</t>
        </is>
      </c>
      <c r="F46" s="134" t="inlineStr">
        <is>
          <t>완료</t>
        </is>
      </c>
      <c r="G46" s="172" t="n">
        <v>46286</v>
      </c>
      <c r="H46" s="172" t="n">
        <v>46287</v>
      </c>
      <c r="I46" s="138">
        <f>IF(AND(G46&lt;&gt;"",H46&lt;&gt;""),H46-G46+1,"")</f>
        <v/>
      </c>
      <c r="J46" s="139" t="inlineStr">
        <is>
          <t>규칙 파일</t>
        </is>
      </c>
      <c r="K46" s="137" t="inlineStr">
        <is>
          <t>★</t>
        </is>
      </c>
      <c r="L46" s="138" t="n">
        <v>2</v>
      </c>
    </row>
    <row r="47" ht="20" customHeight="1">
      <c r="A47" s="138" t="inlineStr">
        <is>
          <t>3.5.2</t>
        </is>
      </c>
      <c r="B47" s="138" t="n"/>
      <c r="C47" s="139" t="inlineStr">
        <is>
          <t xml:space="preserve">    ▸ 공개 정보 연계 (자산 표 · KEV/CVE 원본 S3 · 서명 규칙 c1 · 판정 기준 §8 · 사례 2건 · 주목 CVE)</t>
        </is>
      </c>
      <c r="D47" s="138" t="inlineStr">
        <is>
          <t>B</t>
        </is>
      </c>
      <c r="E47" s="138" t="inlineStr">
        <is>
          <t>한성민</t>
        </is>
      </c>
      <c r="F47" s="134" t="inlineStr">
        <is>
          <t>완료</t>
        </is>
      </c>
      <c r="G47" s="172" t="n">
        <v>46290</v>
      </c>
      <c r="H47" s="172" t="n">
        <v>46290</v>
      </c>
      <c r="I47" s="138">
        <f>IF(AND(G47&lt;&gt;"",H47&lt;&gt;""),H47-G47+1,"")</f>
        <v/>
      </c>
      <c r="J47" s="139" t="inlineStr">
        <is>
          <t>규칙 파일 · CVE 표 · 결과 문서</t>
        </is>
      </c>
      <c r="K47" s="138" t="inlineStr">
        <is>
          <t>★</t>
        </is>
      </c>
      <c r="L47" s="138" t="n">
        <v>2</v>
      </c>
    </row>
    <row r="48" ht="20" customHeight="1">
      <c r="A48" s="138" t="inlineStr">
        <is>
          <t>3.5.3</t>
        </is>
      </c>
      <c r="B48" s="138" t="n"/>
      <c r="C48" s="139" t="inlineStr">
        <is>
          <t xml:space="preserve">    ▸ Sigma→Loki PoC · 관문 Suricata 경보 · DNS 방화벽 (여유 시)</t>
        </is>
      </c>
      <c r="D48" s="138" t="inlineStr">
        <is>
          <t>B</t>
        </is>
      </c>
      <c r="E48" s="138" t="inlineStr">
        <is>
          <t>한성민</t>
        </is>
      </c>
      <c r="F48" s="134" t="inlineStr">
        <is>
          <t>미착수</t>
        </is>
      </c>
      <c r="G48" s="172" t="n">
        <v>46297</v>
      </c>
      <c r="H48" s="172" t="n">
        <v>46304</v>
      </c>
      <c r="I48" s="138">
        <f>IF(AND(G48&lt;&gt;"",H48&lt;&gt;""),H48-G48+1,"")</f>
        <v/>
      </c>
      <c r="J48" s="139" t="inlineStr">
        <is>
          <t>PoC 결과</t>
        </is>
      </c>
      <c r="K48" s="138" t="n"/>
      <c r="L48" s="138" t="n">
        <v>2</v>
      </c>
    </row>
    <row r="49" ht="20" customHeight="1">
      <c r="A49" s="138" t="inlineStr">
        <is>
          <t>3.5.4</t>
        </is>
      </c>
      <c r="B49" s="138" t="n"/>
      <c r="C49" s="139" t="inlineStr">
        <is>
          <t xml:space="preserve">    ▸ 콘솔 자기 탐지 규칙 (R201 대량 해제 · R202 미등록 에이전트)</t>
        </is>
      </c>
      <c r="D49" s="138" t="inlineStr">
        <is>
          <t>B</t>
        </is>
      </c>
      <c r="E49" s="138" t="inlineStr">
        <is>
          <t>한성민</t>
        </is>
      </c>
      <c r="F49" s="134" t="inlineStr">
        <is>
          <t>완료</t>
        </is>
      </c>
      <c r="G49" s="172" t="n">
        <v>46286</v>
      </c>
      <c r="H49" s="172" t="n">
        <v>46288</v>
      </c>
      <c r="I49" s="138">
        <f>IF(AND(G49&lt;&gt;"",H49&lt;&gt;""),H49-G49+1,"")</f>
        <v/>
      </c>
      <c r="J49" s="139" t="inlineStr">
        <is>
          <t>규칙 파일</t>
        </is>
      </c>
      <c r="K49" s="138" t="n"/>
      <c r="L49" s="138" t="n">
        <v>2</v>
      </c>
    </row>
    <row r="50" ht="20" customHeight="1">
      <c r="A50" s="134" t="inlineStr">
        <is>
          <t>3.6</t>
        </is>
      </c>
      <c r="B50" s="134" t="inlineStr">
        <is>
          <t>개발</t>
        </is>
      </c>
      <c r="C50" s="135" t="inlineStr">
        <is>
          <t>[C] 관제 콘솔</t>
        </is>
      </c>
      <c r="D50" s="134" t="inlineStr">
        <is>
          <t>C</t>
        </is>
      </c>
      <c r="E50" s="134" t="inlineStr">
        <is>
          <t>한성민</t>
        </is>
      </c>
      <c r="F50" s="134" t="inlineStr">
        <is>
          <t>완료</t>
        </is>
      </c>
      <c r="G50" s="171" t="n">
        <v>46287</v>
      </c>
      <c r="H50" s="171" t="n">
        <v>46290</v>
      </c>
      <c r="I50" s="134">
        <f>IF(AND(G50&lt;&gt;"",H50&lt;&gt;""),H50-G50+1,"")</f>
        <v/>
      </c>
      <c r="J50" s="135" t="inlineStr">
        <is>
          <t>소스코드</t>
        </is>
      </c>
      <c r="K50" s="137" t="inlineStr">
        <is>
          <t>★</t>
        </is>
      </c>
      <c r="L50" s="134" t="n">
        <v>1</v>
      </c>
    </row>
    <row r="51" ht="20" customHeight="1">
      <c r="A51" s="138" t="inlineStr">
        <is>
          <t>3.6.1</t>
        </is>
      </c>
      <c r="B51" s="138" t="n"/>
      <c r="C51" s="139" t="inlineStr">
        <is>
          <t xml:space="preserve">    ▸ 프로젝트 골격 · 공통 레이아웃 · 인증</t>
        </is>
      </c>
      <c r="D51" s="138" t="inlineStr">
        <is>
          <t>C</t>
        </is>
      </c>
      <c r="E51" s="138" t="inlineStr">
        <is>
          <t>한성민</t>
        </is>
      </c>
      <c r="F51" s="134" t="inlineStr">
        <is>
          <t>완료</t>
        </is>
      </c>
      <c r="G51" s="172" t="n">
        <v>46287</v>
      </c>
      <c r="H51" s="172" t="n">
        <v>46287</v>
      </c>
      <c r="I51" s="138">
        <f>IF(AND(G51&lt;&gt;"",H51&lt;&gt;""),H51-G51+1,"")</f>
        <v/>
      </c>
      <c r="J51" s="139" t="inlineStr">
        <is>
          <t>소스코드</t>
        </is>
      </c>
      <c r="K51" s="137" t="inlineStr">
        <is>
          <t>★</t>
        </is>
      </c>
      <c r="L51" s="138" t="n">
        <v>2</v>
      </c>
    </row>
    <row r="52" ht="20" customHeight="1">
      <c r="A52" s="138" t="inlineStr">
        <is>
          <t>3.6.2</t>
        </is>
      </c>
      <c r="B52" s="138" t="n"/>
      <c r="C52" s="139" t="inlineStr">
        <is>
          <t xml:space="preserve">    ▸ 인시던트 목록 · 상세 (증거 집약 · 담당 표시)</t>
        </is>
      </c>
      <c r="D52" s="138" t="inlineStr">
        <is>
          <t>C</t>
        </is>
      </c>
      <c r="E52" s="138" t="inlineStr">
        <is>
          <t>한성민</t>
        </is>
      </c>
      <c r="F52" s="134" t="inlineStr">
        <is>
          <t>완료</t>
        </is>
      </c>
      <c r="G52" s="172" t="n">
        <v>46288</v>
      </c>
      <c r="H52" s="172" t="n">
        <v>46288</v>
      </c>
      <c r="I52" s="138">
        <f>IF(AND(G52&lt;&gt;"",H52&lt;&gt;""),H52-G52+1,"")</f>
        <v/>
      </c>
      <c r="J52" s="139" t="inlineStr">
        <is>
          <t>소스코드</t>
        </is>
      </c>
      <c r="K52" s="137" t="inlineStr">
        <is>
          <t>★</t>
        </is>
      </c>
      <c r="L52" s="138" t="n">
        <v>2</v>
      </c>
    </row>
    <row r="53" ht="20" customHeight="1">
      <c r="A53" s="138" t="inlineStr">
        <is>
          <t>3.6.3</t>
        </is>
      </c>
      <c r="B53" s="138" t="n"/>
      <c r="C53" s="139" t="inlineStr">
        <is>
          <t xml:space="preserve">    ▸ 판정 화면 (제안 · 대조군 · 증거 고정 · 뒤집기 기록 · CVE · 자산 해당 · 성공 증거 칸)</t>
        </is>
      </c>
      <c r="D53" s="138" t="inlineStr">
        <is>
          <t>C</t>
        </is>
      </c>
      <c r="E53" s="138" t="inlineStr">
        <is>
          <t>한성민</t>
        </is>
      </c>
      <c r="F53" s="134" t="inlineStr">
        <is>
          <t>완료</t>
        </is>
      </c>
      <c r="G53" s="172" t="n">
        <v>46288</v>
      </c>
      <c r="H53" s="172" t="n">
        <v>46288</v>
      </c>
      <c r="I53" s="138">
        <f>IF(AND(G53&lt;&gt;"",H53&lt;&gt;""),H53-G53+1,"")</f>
        <v/>
      </c>
      <c r="J53" s="139" t="inlineStr">
        <is>
          <t>소스코드</t>
        </is>
      </c>
      <c r="K53" s="137" t="inlineStr">
        <is>
          <t>★</t>
        </is>
      </c>
      <c r="L53" s="138" t="n">
        <v>2</v>
      </c>
    </row>
    <row r="54" ht="20" customHeight="1">
      <c r="A54" s="138" t="inlineStr">
        <is>
          <t>3.6.4</t>
        </is>
      </c>
      <c r="B54" s="138" t="n"/>
      <c r="C54" s="139" t="inlineStr">
        <is>
          <t xml:space="preserve">    ▸ 미판정 대시보드 · 노드 상태 S-08 최소 · 판정 목표 시간 (모바일 대응)</t>
        </is>
      </c>
      <c r="D54" s="138" t="inlineStr">
        <is>
          <t>C</t>
        </is>
      </c>
      <c r="E54" s="138" t="inlineStr">
        <is>
          <t>한성민</t>
        </is>
      </c>
      <c r="F54" s="134" t="inlineStr">
        <is>
          <t>완료</t>
        </is>
      </c>
      <c r="G54" s="172" t="n">
        <v>46288</v>
      </c>
      <c r="H54" s="172" t="n">
        <v>46288</v>
      </c>
      <c r="I54" s="138">
        <f>IF(AND(G54&lt;&gt;"",H54&lt;&gt;""),H54-G54+1,"")</f>
        <v/>
      </c>
      <c r="J54" s="139" t="inlineStr">
        <is>
          <t>소스코드</t>
        </is>
      </c>
      <c r="K54" s="137" t="inlineStr">
        <is>
          <t>★</t>
        </is>
      </c>
      <c r="L54" s="138" t="n">
        <v>2</v>
      </c>
    </row>
    <row r="55" ht="20" customHeight="1">
      <c r="A55" s="138" t="inlineStr">
        <is>
          <t>3.6.5</t>
        </is>
      </c>
      <c r="B55" s="138" t="n"/>
      <c r="C55" s="139" t="inlineStr">
        <is>
          <t xml:space="preserve">    ▸ 웹소켓 실시간 갱신</t>
        </is>
      </c>
      <c r="D55" s="138" t="inlineStr">
        <is>
          <t>C</t>
        </is>
      </c>
      <c r="E55" s="138" t="inlineStr">
        <is>
          <t>한성민</t>
        </is>
      </c>
      <c r="F55" s="134" t="inlineStr">
        <is>
          <t>완료</t>
        </is>
      </c>
      <c r="G55" s="172" t="n">
        <v>46288</v>
      </c>
      <c r="H55" s="172" t="n">
        <v>46288</v>
      </c>
      <c r="I55" s="138">
        <f>IF(AND(G55&lt;&gt;"",H55&lt;&gt;""),H55-G55+1,"")</f>
        <v/>
      </c>
      <c r="J55" s="139" t="inlineStr">
        <is>
          <t>소스코드</t>
        </is>
      </c>
      <c r="K55" s="138" t="n"/>
      <c r="L55" s="138" t="n">
        <v>2</v>
      </c>
    </row>
    <row r="56" ht="20" customHeight="1">
      <c r="A56" s="138" t="inlineStr">
        <is>
          <t>3.6.6</t>
        </is>
      </c>
      <c r="B56" s="138" t="n"/>
      <c r="C56" s="139" t="inlineStr">
        <is>
          <t xml:space="preserve">    ▸ 차단 목록 · 만료 · 조치 이력</t>
        </is>
      </c>
      <c r="D56" s="138" t="inlineStr">
        <is>
          <t>C</t>
        </is>
      </c>
      <c r="E56" s="138" t="inlineStr">
        <is>
          <t>한성민</t>
        </is>
      </c>
      <c r="F56" s="134" t="inlineStr">
        <is>
          <t>완료</t>
        </is>
      </c>
      <c r="G56" s="172" t="n">
        <v>46288</v>
      </c>
      <c r="H56" s="172" t="n">
        <v>46288</v>
      </c>
      <c r="I56" s="138">
        <f>IF(AND(G56&lt;&gt;"",H56&lt;&gt;""),H56-G56+1,"")</f>
        <v/>
      </c>
      <c r="J56" s="139" t="inlineStr">
        <is>
          <t>소스코드</t>
        </is>
      </c>
      <c r="K56" s="138" t="n"/>
      <c r="L56" s="138" t="n">
        <v>2</v>
      </c>
    </row>
    <row r="57" ht="20" customHeight="1">
      <c r="A57" s="138" t="inlineStr">
        <is>
          <t>3.6.7</t>
        </is>
      </c>
      <c r="B57" s="138" t="n"/>
      <c r="C57" s="139" t="inlineStr">
        <is>
          <t xml:space="preserve">    ▸ 통보 연동 (웹훅 · 3등급 · 묶음 · 에스컬레이션 · 외부 생존 신호, S-12)</t>
        </is>
      </c>
      <c r="D57" s="138" t="inlineStr">
        <is>
          <t>C</t>
        </is>
      </c>
      <c r="E57" s="138" t="inlineStr">
        <is>
          <t>한성민</t>
        </is>
      </c>
      <c r="F57" s="134" t="inlineStr">
        <is>
          <t>완료</t>
        </is>
      </c>
      <c r="G57" s="172" t="n">
        <v>46289</v>
      </c>
      <c r="H57" s="172" t="n">
        <v>46289</v>
      </c>
      <c r="I57" s="138">
        <f>IF(AND(G57&lt;&gt;"",H57&lt;&gt;""),H57-G57+1,"")</f>
        <v/>
      </c>
      <c r="J57" s="139" t="inlineStr">
        <is>
          <t>소스코드</t>
        </is>
      </c>
      <c r="K57" s="138" t="n"/>
      <c r="L57" s="138" t="n">
        <v>2</v>
      </c>
    </row>
    <row r="58" ht="20" customHeight="1">
      <c r="A58" s="138" t="inlineStr">
        <is>
          <t>3.6.8</t>
        </is>
      </c>
      <c r="B58" s="138" t="n"/>
      <c r="C58" s="139" t="inlineStr">
        <is>
          <t xml:space="preserve">    ▸ 감사 기록 조회 (S-14 최소) · 계정 화면은 삭제 (CLI 유지)</t>
        </is>
      </c>
      <c r="D58" s="138" t="inlineStr">
        <is>
          <t>C</t>
        </is>
      </c>
      <c r="E58" s="138" t="inlineStr">
        <is>
          <t>한성민</t>
        </is>
      </c>
      <c r="F58" s="134" t="inlineStr">
        <is>
          <t>완료</t>
        </is>
      </c>
      <c r="G58" s="172" t="n">
        <v>46288</v>
      </c>
      <c r="H58" s="172" t="n">
        <v>46288</v>
      </c>
      <c r="I58" s="138">
        <f>IF(AND(G58&lt;&gt;"",H58&lt;&gt;""),H58-G58+1,"")</f>
        <v/>
      </c>
      <c r="J58" s="139" t="inlineStr">
        <is>
          <t>소스코드</t>
        </is>
      </c>
      <c r="K58" s="138" t="n"/>
      <c r="L58" s="138" t="n">
        <v>2</v>
      </c>
    </row>
    <row r="59" ht="20" customHeight="1">
      <c r="A59" s="138" t="inlineStr">
        <is>
          <t>3.6.9</t>
        </is>
      </c>
      <c r="B59" s="138" t="n"/>
      <c r="C59" s="139" t="inlineStr">
        <is>
          <t xml:space="preserve">    ▸ 연결 끊김 표시 (S-10 최소 · S-16 은 골격에 포함)</t>
        </is>
      </c>
      <c r="D59" s="138" t="inlineStr">
        <is>
          <t>C</t>
        </is>
      </c>
      <c r="E59" s="138" t="inlineStr">
        <is>
          <t>한성민</t>
        </is>
      </c>
      <c r="F59" s="134" t="inlineStr">
        <is>
          <t>완료</t>
        </is>
      </c>
      <c r="G59" s="172" t="n">
        <v>46288</v>
      </c>
      <c r="H59" s="172" t="n">
        <v>46288</v>
      </c>
      <c r="I59" s="138">
        <f>IF(AND(G59&lt;&gt;"",H59&lt;&gt;""),H59-G59+1,"")</f>
        <v/>
      </c>
      <c r="J59" s="139" t="inlineStr">
        <is>
          <t>소스코드</t>
        </is>
      </c>
      <c r="K59" s="138" t="n"/>
      <c r="L59" s="138" t="n">
        <v>2</v>
      </c>
    </row>
    <row r="60" ht="20" customHeight="1">
      <c r="A60" s="138" t="inlineStr">
        <is>
          <t>3.6.10</t>
        </is>
      </c>
      <c r="B60" s="138" t="n"/>
      <c r="C60" s="139" t="inlineStr">
        <is>
          <t xml:space="preserve">    ▸ 비신뢰 로그 표시 시험 · CSP 검증 (숨은 문자 표식 · 긴 값 접기 · 콘솔 특정 방지 · 통계 페이지 내부화 · 알림 값 정리, 보고서 화면은 삭제)</t>
        </is>
      </c>
      <c r="D60" s="138" t="inlineStr">
        <is>
          <t>C</t>
        </is>
      </c>
      <c r="E60" s="138" t="inlineStr">
        <is>
          <t>한성민</t>
        </is>
      </c>
      <c r="F60" s="134" t="inlineStr">
        <is>
          <t>완료</t>
        </is>
      </c>
      <c r="G60" s="172" t="n">
        <v>46290</v>
      </c>
      <c r="H60" s="172" t="n">
        <v>46290</v>
      </c>
      <c r="I60" s="138">
        <f>IF(AND(G60&lt;&gt;"",H60&lt;&gt;""),H60-G60+1,"")</f>
        <v/>
      </c>
      <c r="J60" s="139" t="inlineStr">
        <is>
          <t>시험 코드 · 검증 기록</t>
        </is>
      </c>
      <c r="K60" s="138" t="n"/>
      <c r="L60" s="138" t="n">
        <v>2</v>
      </c>
    </row>
    <row r="61" ht="20" customHeight="1">
      <c r="A61" s="134" t="inlineStr">
        <is>
          <t>3.7</t>
        </is>
      </c>
      <c r="B61" s="134" t="inlineStr">
        <is>
          <t>개발</t>
        </is>
      </c>
      <c r="C61" s="135" t="inlineStr">
        <is>
          <t>[D] 정상 트래픽 정의 및 생성 (오탐 측정 기준)</t>
        </is>
      </c>
      <c r="D61" s="134" t="inlineStr">
        <is>
          <t>D</t>
        </is>
      </c>
      <c r="E61" s="134" t="inlineStr">
        <is>
          <t>한성민</t>
        </is>
      </c>
      <c r="F61" s="134" t="inlineStr">
        <is>
          <t>미착수</t>
        </is>
      </c>
      <c r="G61" s="171" t="n">
        <v>46299</v>
      </c>
      <c r="H61" s="171" t="n">
        <v>46300</v>
      </c>
      <c r="I61" s="134">
        <f>IF(AND(G61&lt;&gt;"",H61&lt;&gt;""),H61-G61+1,"")</f>
        <v/>
      </c>
      <c r="J61" s="135" t="inlineStr">
        <is>
          <t>소스코드 · 정의서</t>
        </is>
      </c>
      <c r="K61" s="137" t="inlineStr">
        <is>
          <t>★</t>
        </is>
      </c>
      <c r="L61" s="134" t="n">
        <v>1</v>
      </c>
    </row>
    <row r="62" ht="20" customHeight="1">
      <c r="A62" s="134" t="inlineStr">
        <is>
          <t>3.8</t>
        </is>
      </c>
      <c r="B62" s="134" t="inlineStr">
        <is>
          <t>개발</t>
        </is>
      </c>
      <c r="C62" s="135" t="inlineStr">
        <is>
          <t>[D] 폐루프 2회차</t>
        </is>
      </c>
      <c r="D62" s="134" t="inlineStr">
        <is>
          <t>D</t>
        </is>
      </c>
      <c r="E62" s="134" t="inlineStr">
        <is>
          <t>한성민</t>
        </is>
      </c>
      <c r="F62" s="134" t="inlineStr">
        <is>
          <t>진행중</t>
        </is>
      </c>
      <c r="G62" s="171" t="n">
        <v>46289</v>
      </c>
      <c r="H62" s="171" t="n">
        <v>46303</v>
      </c>
      <c r="I62" s="134">
        <f>IF(AND(G62&lt;&gt;"",H62&lt;&gt;""),H62-G62+1,"")</f>
        <v/>
      </c>
      <c r="J62" s="135" t="inlineStr">
        <is>
          <t>평가 결과표</t>
        </is>
      </c>
      <c r="K62" s="137" t="inlineStr">
        <is>
          <t>★</t>
        </is>
      </c>
      <c r="L62" s="134" t="n">
        <v>1</v>
      </c>
    </row>
    <row r="63" ht="20" customHeight="1">
      <c r="A63" s="138" t="inlineStr">
        <is>
          <t>3.8.1</t>
        </is>
      </c>
      <c r="B63" s="138" t="n"/>
      <c r="C63" s="139" t="inlineStr">
        <is>
          <t xml:space="preserve">    ▸ 규칙 v2 인시던트 판정 (잔여 22건)</t>
        </is>
      </c>
      <c r="D63" s="138" t="inlineStr">
        <is>
          <t>D</t>
        </is>
      </c>
      <c r="E63" s="138" t="inlineStr">
        <is>
          <t>한성민</t>
        </is>
      </c>
      <c r="F63" s="134" t="inlineStr">
        <is>
          <t>완료</t>
        </is>
      </c>
      <c r="G63" s="172" t="n">
        <v>46289</v>
      </c>
      <c r="H63" s="172" t="n">
        <v>46290</v>
      </c>
      <c r="I63" s="138">
        <f>IF(AND(G63&lt;&gt;"",H63&lt;&gt;""),H63-G63+1,"")</f>
        <v/>
      </c>
      <c r="J63" s="139" t="inlineStr">
        <is>
          <t>판정 이력</t>
        </is>
      </c>
      <c r="K63" s="137" t="inlineStr">
        <is>
          <t>★</t>
        </is>
      </c>
      <c r="L63" s="138" t="n">
        <v>2</v>
      </c>
    </row>
    <row r="64" ht="20" customHeight="1">
      <c r="A64" s="138" t="inlineStr">
        <is>
          <t>3.8.2</t>
        </is>
      </c>
      <c r="B64" s="138" t="n"/>
      <c r="C64" s="139" t="inlineStr">
        <is>
          <t xml:space="preserve">    ▸ 디코이 규칙 후보 → 콘솔 로그 리플레이</t>
        </is>
      </c>
      <c r="D64" s="138" t="inlineStr">
        <is>
          <t>D</t>
        </is>
      </c>
      <c r="E64" s="138" t="inlineStr">
        <is>
          <t>한성민</t>
        </is>
      </c>
      <c r="F64" s="134" t="inlineStr">
        <is>
          <t>미착수</t>
        </is>
      </c>
      <c r="G64" s="172" t="n">
        <v>46301</v>
      </c>
      <c r="H64" s="172" t="n">
        <v>46301</v>
      </c>
      <c r="I64" s="138">
        <f>IF(AND(G64&lt;&gt;"",H64&lt;&gt;""),H64-G64+1,"")</f>
        <v/>
      </c>
      <c r="J64" s="139" t="inlineStr">
        <is>
          <t>평가 결과표</t>
        </is>
      </c>
      <c r="K64" s="137" t="inlineStr">
        <is>
          <t>★</t>
        </is>
      </c>
      <c r="L64" s="138" t="n">
        <v>2</v>
      </c>
    </row>
    <row r="65" ht="20" customHeight="1">
      <c r="A65" s="138" t="inlineStr">
        <is>
          <t>3.8.3</t>
        </is>
      </c>
      <c r="B65" s="138" t="n"/>
      <c r="C65" s="139" t="inlineStr">
        <is>
          <t xml:space="preserve">    ▸ 규칙 v3 도출 및 동일 구간 재적용 비교</t>
        </is>
      </c>
      <c r="D65" s="138" t="inlineStr">
        <is>
          <t>D</t>
        </is>
      </c>
      <c r="E65" s="138" t="inlineStr">
        <is>
          <t>한성민</t>
        </is>
      </c>
      <c r="F65" s="134" t="inlineStr">
        <is>
          <t>완료</t>
        </is>
      </c>
      <c r="G65" s="172" t="n">
        <v>46289</v>
      </c>
      <c r="H65" s="172" t="n">
        <v>46290</v>
      </c>
      <c r="I65" s="138">
        <f>IF(AND(G65&lt;&gt;"",H65&lt;&gt;""),H65-G65+1,"")</f>
        <v/>
      </c>
      <c r="J65" s="139" t="inlineStr">
        <is>
          <t>평가 결과표</t>
        </is>
      </c>
      <c r="K65" s="137" t="inlineStr">
        <is>
          <t>★</t>
        </is>
      </c>
      <c r="L65" s="138" t="n">
        <v>2</v>
      </c>
    </row>
    <row r="66" ht="20" customHeight="1">
      <c r="A66" s="138" t="inlineStr">
        <is>
          <t>3.8.4</t>
        </is>
      </c>
      <c r="B66" s="138" t="n"/>
      <c r="C66" s="139" t="inlineStr">
        <is>
          <t xml:space="preserve">    ▸ 재현율 · 오탐률 산출 및 해석</t>
        </is>
      </c>
      <c r="D66" s="138" t="inlineStr">
        <is>
          <t>D</t>
        </is>
      </c>
      <c r="E66" s="138" t="inlineStr">
        <is>
          <t>한성민</t>
        </is>
      </c>
      <c r="F66" s="134" t="inlineStr">
        <is>
          <t>완료</t>
        </is>
      </c>
      <c r="G66" s="172" t="n">
        <v>46289</v>
      </c>
      <c r="H66" s="172" t="n">
        <v>46290</v>
      </c>
      <c r="I66" s="138">
        <f>IF(AND(G66&lt;&gt;"",H66&lt;&gt;""),H66-G66+1,"")</f>
        <v/>
      </c>
      <c r="J66" s="139" t="inlineStr">
        <is>
          <t>평가 결과표</t>
        </is>
      </c>
      <c r="K66" s="137" t="inlineStr">
        <is>
          <t>★</t>
        </is>
      </c>
      <c r="L66" s="138" t="n">
        <v>2</v>
      </c>
    </row>
    <row r="67" ht="20" customHeight="1">
      <c r="A67" s="134" t="inlineStr">
        <is>
          <t>3.9</t>
        </is>
      </c>
      <c r="B67" s="134" t="inlineStr">
        <is>
          <t>개발</t>
        </is>
      </c>
      <c r="C67" s="135" t="inlineStr">
        <is>
          <t>[A] 차단 자동 집행 (관문 fail2ban 연동 · 만료 · 감사 기록 · 인프라 주소 차단 금지 목록)</t>
        </is>
      </c>
      <c r="D67" s="134" t="inlineStr">
        <is>
          <t>A</t>
        </is>
      </c>
      <c r="E67" s="134" t="inlineStr">
        <is>
          <t>한성민</t>
        </is>
      </c>
      <c r="F67" s="134" t="inlineStr">
        <is>
          <t>완료</t>
        </is>
      </c>
      <c r="G67" s="171" t="n">
        <v>46292</v>
      </c>
      <c r="H67" s="171" t="n">
        <v>46292</v>
      </c>
      <c r="I67" s="134">
        <f>IF(AND(G67&lt;&gt;"",H67&lt;&gt;""),H67-G67+1,"")</f>
        <v/>
      </c>
      <c r="J67" s="135" t="inlineStr">
        <is>
          <t>소스코드</t>
        </is>
      </c>
      <c r="K67" s="134" t="n"/>
      <c r="L67" s="134" t="n">
        <v>1</v>
      </c>
    </row>
    <row r="68" ht="20" customHeight="1">
      <c r="A68" s="134" t="inlineStr">
        <is>
          <t>3.10</t>
        </is>
      </c>
      <c r="B68" s="134" t="inlineStr">
        <is>
          <t>개발</t>
        </is>
      </c>
      <c r="C68" s="135" t="inlineStr">
        <is>
          <t>[D] 운영 부담 지표 산출 (판정 시간 · 미판정 잔량)</t>
        </is>
      </c>
      <c r="D68" s="134" t="inlineStr">
        <is>
          <t>D</t>
        </is>
      </c>
      <c r="E68" s="134" t="inlineStr">
        <is>
          <t>한성민</t>
        </is>
      </c>
      <c r="F68" s="134" t="inlineStr">
        <is>
          <t>미착수</t>
        </is>
      </c>
      <c r="G68" s="171" t="n">
        <v>46303</v>
      </c>
      <c r="H68" s="171" t="n">
        <v>46303</v>
      </c>
      <c r="I68" s="134">
        <f>IF(AND(G68&lt;&gt;"",H68&lt;&gt;""),H68-G68+1,"")</f>
        <v/>
      </c>
      <c r="J68" s="135" t="inlineStr">
        <is>
          <t>지표 산출표</t>
        </is>
      </c>
      <c r="K68" s="134" t="n"/>
      <c r="L68" s="134" t="n">
        <v>1</v>
      </c>
    </row>
    <row r="69" ht="20" customHeight="1">
      <c r="A69" s="134" t="inlineStr">
        <is>
          <t>3.11</t>
        </is>
      </c>
      <c r="B69" s="134" t="inlineStr">
        <is>
          <t>개발</t>
        </is>
      </c>
      <c r="C69" s="135" t="inlineStr">
        <is>
          <t>[A] 백업 · 복구 절차 구성</t>
        </is>
      </c>
      <c r="D69" s="134" t="inlineStr">
        <is>
          <t>A</t>
        </is>
      </c>
      <c r="E69" s="134" t="inlineStr">
        <is>
          <t>한성민</t>
        </is>
      </c>
      <c r="F69" s="134" t="inlineStr">
        <is>
          <t>완료</t>
        </is>
      </c>
      <c r="G69" s="171" t="n">
        <v>46286</v>
      </c>
      <c r="H69" s="171" t="n">
        <v>46287</v>
      </c>
      <c r="I69" s="134">
        <f>IF(AND(G69&lt;&gt;"",H69&lt;&gt;""),H69-G69+1,"")</f>
        <v/>
      </c>
      <c r="J69" s="135" t="inlineStr">
        <is>
          <t>백업 스크립트</t>
        </is>
      </c>
      <c r="K69" s="134" t="n"/>
      <c r="L69" s="134" t="n">
        <v>1</v>
      </c>
    </row>
    <row r="70" ht="22" customHeight="1">
      <c r="A70" s="103" t="inlineStr">
        <is>
          <t>4.0</t>
        </is>
      </c>
      <c r="B70" s="103" t="inlineStr">
        <is>
          <t>테스트</t>
        </is>
      </c>
      <c r="C70" s="130" t="inlineStr">
        <is>
          <t>[테스트 단계]</t>
        </is>
      </c>
      <c r="D70" s="103" t="n"/>
      <c r="E70" s="103" t="n"/>
      <c r="F70" s="131" t="n"/>
      <c r="G70" s="170" t="n"/>
      <c r="H70" s="170" t="n"/>
      <c r="I70" s="103" t="n"/>
      <c r="J70" s="133" t="n"/>
      <c r="K70" s="103" t="n"/>
      <c r="L70" s="103" t="n">
        <v>0</v>
      </c>
    </row>
    <row r="71" ht="20" customHeight="1">
      <c r="A71" s="134" t="inlineStr">
        <is>
          <t>4.1</t>
        </is>
      </c>
      <c r="B71" s="134" t="inlineStr">
        <is>
          <t>테스트</t>
        </is>
      </c>
      <c r="C71" s="135" t="inlineStr">
        <is>
          <t>단위 테스트 수행 및 결과 정리</t>
        </is>
      </c>
      <c r="D71" s="134" t="inlineStr">
        <is>
          <t>-</t>
        </is>
      </c>
      <c r="E71" s="134" t="inlineStr">
        <is>
          <t>한성민</t>
        </is>
      </c>
      <c r="F71" s="134" t="inlineStr">
        <is>
          <t>미착수</t>
        </is>
      </c>
      <c r="G71" s="171" t="n">
        <v>46287</v>
      </c>
      <c r="H71" s="171" t="n">
        <v>46305</v>
      </c>
      <c r="I71" s="134">
        <f>IF(AND(G71&lt;&gt;"",H71&lt;&gt;""),H71-G71+1,"")</f>
        <v/>
      </c>
      <c r="J71" s="135" t="inlineStr">
        <is>
          <t>단위테스트 결과서</t>
        </is>
      </c>
      <c r="K71" s="134" t="n"/>
      <c r="L71" s="134" t="n">
        <v>1</v>
      </c>
    </row>
    <row r="72" ht="20" customHeight="1">
      <c r="A72" s="134" t="inlineStr">
        <is>
          <t>4.2</t>
        </is>
      </c>
      <c r="B72" s="134" t="inlineStr">
        <is>
          <t>테스트</t>
        </is>
      </c>
      <c r="C72" s="135" t="inlineStr">
        <is>
          <t>방화벽 규칙 검증 · 격리 시험 (허니팟 장악 가정 · 9/25 1차 · 10/9 최종)</t>
        </is>
      </c>
      <c r="D72" s="134" t="inlineStr">
        <is>
          <t>A</t>
        </is>
      </c>
      <c r="E72" s="134" t="inlineStr">
        <is>
          <t>한성민</t>
        </is>
      </c>
      <c r="F72" s="134" t="inlineStr">
        <is>
          <t>진행중</t>
        </is>
      </c>
      <c r="G72" s="171" t="n">
        <v>46290</v>
      </c>
      <c r="H72" s="171" t="n">
        <v>46304</v>
      </c>
      <c r="I72" s="134">
        <f>IF(AND(G72&lt;&gt;"",H72&lt;&gt;""),H72-G72+1,"")</f>
        <v/>
      </c>
      <c r="J72" s="135" t="inlineStr">
        <is>
          <t>검증 결과서 · 격리 시험 결과</t>
        </is>
      </c>
      <c r="K72" s="137" t="inlineStr">
        <is>
          <t>★</t>
        </is>
      </c>
      <c r="L72" s="134" t="n">
        <v>1</v>
      </c>
    </row>
    <row r="73" ht="20" customHeight="1">
      <c r="A73" s="134" t="inlineStr">
        <is>
          <t>4.3</t>
        </is>
      </c>
      <c r="B73" s="134" t="inlineStr">
        <is>
          <t>테스트</t>
        </is>
      </c>
      <c r="C73" s="135" t="inlineStr">
        <is>
          <t>통합 테스트 (수집→탐지→판정→환류)</t>
        </is>
      </c>
      <c r="D73" s="134" t="inlineStr">
        <is>
          <t>-</t>
        </is>
      </c>
      <c r="E73" s="134" t="inlineStr">
        <is>
          <t>한성민</t>
        </is>
      </c>
      <c r="F73" s="134" t="inlineStr">
        <is>
          <t>미착수</t>
        </is>
      </c>
      <c r="G73" s="171" t="n">
        <v>46305</v>
      </c>
      <c r="H73" s="171" t="n">
        <v>46305</v>
      </c>
      <c r="I73" s="134">
        <f>IF(AND(G73&lt;&gt;"",H73&lt;&gt;""),H73-G73+1,"")</f>
        <v/>
      </c>
      <c r="J73" s="135" t="inlineStr">
        <is>
          <t>통합테스트 결과서</t>
        </is>
      </c>
      <c r="K73" s="137" t="inlineStr">
        <is>
          <t>★</t>
        </is>
      </c>
      <c r="L73" s="134" t="n">
        <v>1</v>
      </c>
    </row>
    <row r="74" ht="20" customHeight="1">
      <c r="A74" s="134" t="inlineStr">
        <is>
          <t>4.4</t>
        </is>
      </c>
      <c r="B74" s="134" t="inlineStr">
        <is>
          <t>테스트</t>
        </is>
      </c>
      <c r="C74" s="135" t="inlineStr">
        <is>
          <t>장애 주입 시험 (콘솔 강제 종료 · VM 강제 끔 · 전환 시간 측정 · HAProxy 보강 전후 21회)</t>
        </is>
      </c>
      <c r="D74" s="134" t="inlineStr">
        <is>
          <t>A</t>
        </is>
      </c>
      <c r="E74" s="134" t="inlineStr">
        <is>
          <t>한성민</t>
        </is>
      </c>
      <c r="F74" s="134" t="inlineStr">
        <is>
          <t>완료</t>
        </is>
      </c>
      <c r="G74" s="171" t="n">
        <v>46290</v>
      </c>
      <c r="H74" s="171" t="n">
        <v>46291</v>
      </c>
      <c r="I74" s="134">
        <f>IF(AND(G74&lt;&gt;"",H74&lt;&gt;""),H74-G74+1,"")</f>
        <v/>
      </c>
      <c r="J74" s="135" t="inlineStr">
        <is>
          <t>장애 시험 결과서</t>
        </is>
      </c>
      <c r="K74" s="137" t="inlineStr">
        <is>
          <t>★</t>
        </is>
      </c>
      <c r="L74" s="134" t="n">
        <v>1</v>
      </c>
    </row>
    <row r="75" ht="20" customHeight="1">
      <c r="A75" s="134" t="inlineStr">
        <is>
          <t>4.5</t>
        </is>
      </c>
      <c r="B75" s="134" t="inlineStr">
        <is>
          <t>테스트</t>
        </is>
      </c>
      <c r="C75" s="135" t="inlineStr">
        <is>
          <t>백업 복원 훈련 (새 서버 복원 · 역할 목록 · 무결성 · 원장 재적재 대조 · RTO 5분 53초 · 복원 런북)</t>
        </is>
      </c>
      <c r="D75" s="134" t="inlineStr">
        <is>
          <t>A</t>
        </is>
      </c>
      <c r="E75" s="134" t="inlineStr">
        <is>
          <t>한성민</t>
        </is>
      </c>
      <c r="F75" s="134" t="inlineStr">
        <is>
          <t>완료</t>
        </is>
      </c>
      <c r="G75" s="171" t="n">
        <v>46292</v>
      </c>
      <c r="H75" s="171" t="n">
        <v>46292</v>
      </c>
      <c r="I75" s="134">
        <f>IF(AND(G75&lt;&gt;"",H75&lt;&gt;""),H75-G75+1,"")</f>
        <v/>
      </c>
      <c r="J75" s="135" t="inlineStr">
        <is>
          <t>복원 훈련 기록</t>
        </is>
      </c>
      <c r="K75" s="134" t="n"/>
      <c r="L75" s="134" t="n">
        <v>1</v>
      </c>
    </row>
    <row r="76" ht="20" customHeight="1">
      <c r="A76" s="134" t="inlineStr">
        <is>
          <t>4.6</t>
        </is>
      </c>
      <c r="B76" s="134" t="inlineStr">
        <is>
          <t>테스트</t>
        </is>
      </c>
      <c r="C76" s="135" t="inlineStr">
        <is>
          <t>시연 시나리오 리허설 및 녹화</t>
        </is>
      </c>
      <c r="D76" s="134" t="inlineStr">
        <is>
          <t>-</t>
        </is>
      </c>
      <c r="E76" s="134" t="inlineStr">
        <is>
          <t>한성민</t>
        </is>
      </c>
      <c r="F76" s="134" t="inlineStr">
        <is>
          <t>미착수</t>
        </is>
      </c>
      <c r="G76" s="171" t="n">
        <v>46306</v>
      </c>
      <c r="H76" s="171" t="n">
        <v>46308</v>
      </c>
      <c r="I76" s="134">
        <f>IF(AND(G76&lt;&gt;"",H76&lt;&gt;""),H76-G76+1,"")</f>
        <v/>
      </c>
      <c r="J76" s="135" t="inlineStr">
        <is>
          <t>시연 시나리오 · 녹화본</t>
        </is>
      </c>
      <c r="K76" s="137" t="inlineStr">
        <is>
          <t>★</t>
        </is>
      </c>
      <c r="L76" s="134" t="n">
        <v>1</v>
      </c>
    </row>
    <row r="77" ht="22" customHeight="1">
      <c r="A77" s="103" t="inlineStr">
        <is>
          <t>5.0</t>
        </is>
      </c>
      <c r="B77" s="103" t="inlineStr">
        <is>
          <t>문서화</t>
        </is>
      </c>
      <c r="C77" s="130" t="inlineStr">
        <is>
          <t>[문서화 단계]</t>
        </is>
      </c>
      <c r="D77" s="103" t="n"/>
      <c r="E77" s="103" t="n"/>
      <c r="F77" s="131" t="n"/>
      <c r="G77" s="170" t="n"/>
      <c r="H77" s="170" t="n"/>
      <c r="I77" s="103" t="n"/>
      <c r="J77" s="133" t="n"/>
      <c r="K77" s="103" t="n"/>
      <c r="L77" s="103" t="n">
        <v>0</v>
      </c>
    </row>
    <row r="78" ht="20" customHeight="1">
      <c r="A78" s="134" t="inlineStr">
        <is>
          <t>5.1</t>
        </is>
      </c>
      <c r="B78" s="134" t="inlineStr">
        <is>
          <t>문서화</t>
        </is>
      </c>
      <c r="C78" s="135" t="inlineStr">
        <is>
          <t>WBS v2.0</t>
        </is>
      </c>
      <c r="D78" s="134" t="inlineStr">
        <is>
          <t>-</t>
        </is>
      </c>
      <c r="E78" s="134" t="inlineStr">
        <is>
          <t>한성민</t>
        </is>
      </c>
      <c r="F78" s="134" t="inlineStr">
        <is>
          <t>진행중</t>
        </is>
      </c>
      <c r="G78" s="171" t="n">
        <v>46283</v>
      </c>
      <c r="H78" s="171" t="n">
        <v>46311</v>
      </c>
      <c r="I78" s="134">
        <f>IF(AND(G78&lt;&gt;"",H78&lt;&gt;""),H78-G78+1,"")</f>
        <v/>
      </c>
      <c r="J78" s="135" t="n"/>
      <c r="K78" s="134" t="n"/>
      <c r="L78" s="134" t="n">
        <v>1</v>
      </c>
    </row>
    <row r="79" ht="20" customHeight="1">
      <c r="A79" s="134" t="inlineStr">
        <is>
          <t>5.2</t>
        </is>
      </c>
      <c r="B79" s="134" t="inlineStr">
        <is>
          <t>문서화</t>
        </is>
      </c>
      <c r="C79" s="135" t="inlineStr">
        <is>
          <t>작업일지 (일일 누적)</t>
        </is>
      </c>
      <c r="D79" s="134" t="inlineStr">
        <is>
          <t>-</t>
        </is>
      </c>
      <c r="E79" s="134" t="inlineStr">
        <is>
          <t>한성민</t>
        </is>
      </c>
      <c r="F79" s="134" t="inlineStr">
        <is>
          <t>진행중</t>
        </is>
      </c>
      <c r="G79" s="171" t="n">
        <v>46267</v>
      </c>
      <c r="H79" s="171" t="n">
        <v>46311</v>
      </c>
      <c r="I79" s="134">
        <f>IF(AND(G79&lt;&gt;"",H79&lt;&gt;""),H79-G79+1,"")</f>
        <v/>
      </c>
      <c r="J79" s="135" t="n"/>
      <c r="K79" s="134" t="n"/>
      <c r="L79" s="134" t="n">
        <v>1</v>
      </c>
    </row>
    <row r="80" ht="20" customHeight="1">
      <c r="A80" s="134" t="inlineStr">
        <is>
          <t>5.3</t>
        </is>
      </c>
      <c r="B80" s="134" t="inlineStr">
        <is>
          <t>문서화</t>
        </is>
      </c>
      <c r="C80" s="135" t="inlineStr">
        <is>
          <t>시스템 구성도 (전체 · 서버네트워크 · 역할분담)</t>
        </is>
      </c>
      <c r="D80" s="134" t="inlineStr">
        <is>
          <t>-</t>
        </is>
      </c>
      <c r="E80" s="134" t="inlineStr">
        <is>
          <t>한성민</t>
        </is>
      </c>
      <c r="F80" s="134" t="inlineStr">
        <is>
          <t>진행중</t>
        </is>
      </c>
      <c r="G80" s="171" t="n">
        <v>46285</v>
      </c>
      <c r="H80" s="171" t="n">
        <v>46311</v>
      </c>
      <c r="I80" s="134">
        <f>IF(AND(G80&lt;&gt;"",H80&lt;&gt;""),H80-G80+1,"")</f>
        <v/>
      </c>
      <c r="J80" s="135" t="n"/>
      <c r="K80" s="134" t="n"/>
      <c r="L80" s="134" t="n">
        <v>1</v>
      </c>
    </row>
    <row r="81" ht="20" customHeight="1">
      <c r="A81" s="134" t="inlineStr">
        <is>
          <t>5.4</t>
        </is>
      </c>
      <c r="B81" s="134" t="inlineStr">
        <is>
          <t>문서화</t>
        </is>
      </c>
      <c r="C81" s="135" t="inlineStr">
        <is>
          <t>네트워크 설계서 (대역 · 경로 · 방화벽 규칙표)</t>
        </is>
      </c>
      <c r="D81" s="134" t="inlineStr">
        <is>
          <t>-</t>
        </is>
      </c>
      <c r="E81" s="134" t="inlineStr">
        <is>
          <t>한성민</t>
        </is>
      </c>
      <c r="F81" s="134" t="inlineStr">
        <is>
          <t>진행중</t>
        </is>
      </c>
      <c r="G81" s="171" t="n">
        <v>46283</v>
      </c>
      <c r="H81" s="171" t="n">
        <v>46311</v>
      </c>
      <c r="I81" s="134">
        <f>IF(AND(G81&lt;&gt;"",H81&lt;&gt;""),H81-G81+1,"")</f>
        <v/>
      </c>
      <c r="J81" s="135" t="n"/>
      <c r="K81" s="134" t="n"/>
      <c r="L81" s="134" t="n">
        <v>1</v>
      </c>
    </row>
    <row r="82" ht="20" customHeight="1">
      <c r="A82" s="134" t="inlineStr">
        <is>
          <t>5.5</t>
        </is>
      </c>
      <c r="B82" s="134" t="inlineStr">
        <is>
          <t>문서화</t>
        </is>
      </c>
      <c r="C82" s="135" t="inlineStr">
        <is>
          <t>테이블 정의서</t>
        </is>
      </c>
      <c r="D82" s="134" t="inlineStr">
        <is>
          <t>-</t>
        </is>
      </c>
      <c r="E82" s="134" t="inlineStr">
        <is>
          <t>한성민</t>
        </is>
      </c>
      <c r="F82" s="134" t="inlineStr">
        <is>
          <t>진행중</t>
        </is>
      </c>
      <c r="G82" s="171" t="n">
        <v>46269</v>
      </c>
      <c r="H82" s="171" t="n">
        <v>46311</v>
      </c>
      <c r="I82" s="134">
        <f>IF(AND(G82&lt;&gt;"",H82&lt;&gt;""),H82-G82+1,"")</f>
        <v/>
      </c>
      <c r="J82" s="135" t="n"/>
      <c r="K82" s="134" t="n"/>
      <c r="L82" s="134" t="n">
        <v>1</v>
      </c>
    </row>
    <row r="83" ht="20" customHeight="1">
      <c r="A83" s="134" t="inlineStr">
        <is>
          <t>5.6</t>
        </is>
      </c>
      <c r="B83" s="134" t="inlineStr">
        <is>
          <t>문서화</t>
        </is>
      </c>
      <c r="C83" s="135" t="inlineStr">
        <is>
          <t>화면설계서</t>
        </is>
      </c>
      <c r="D83" s="134" t="inlineStr">
        <is>
          <t>-</t>
        </is>
      </c>
      <c r="E83" s="134" t="inlineStr">
        <is>
          <t>한성민</t>
        </is>
      </c>
      <c r="F83" s="134" t="inlineStr">
        <is>
          <t>진행중</t>
        </is>
      </c>
      <c r="G83" s="171" t="n">
        <v>46284</v>
      </c>
      <c r="H83" s="171" t="n">
        <v>46311</v>
      </c>
      <c r="I83" s="134">
        <f>IF(AND(G83&lt;&gt;"",H83&lt;&gt;""),H83-G83+1,"")</f>
        <v/>
      </c>
      <c r="J83" s="135" t="n"/>
      <c r="K83" s="134" t="n"/>
      <c r="L83" s="134" t="n">
        <v>1</v>
      </c>
    </row>
    <row r="84" ht="20" customHeight="1">
      <c r="A84" s="134" t="inlineStr">
        <is>
          <t>5.7</t>
        </is>
      </c>
      <c r="B84" s="134" t="inlineStr">
        <is>
          <t>문서화</t>
        </is>
      </c>
      <c r="C84" s="135" t="inlineStr">
        <is>
          <t>API 스펙 문서 (공통 로그 스키마 포함)</t>
        </is>
      </c>
      <c r="D84" s="134" t="inlineStr">
        <is>
          <t>-</t>
        </is>
      </c>
      <c r="E84" s="134" t="inlineStr">
        <is>
          <t>한성민</t>
        </is>
      </c>
      <c r="F84" s="134" t="inlineStr">
        <is>
          <t>미착수</t>
        </is>
      </c>
      <c r="G84" s="171" t="n">
        <v>46306</v>
      </c>
      <c r="H84" s="171" t="n">
        <v>46311</v>
      </c>
      <c r="I84" s="134">
        <f>IF(AND(G84&lt;&gt;"",H84&lt;&gt;""),H84-G84+1,"")</f>
        <v/>
      </c>
      <c r="J84" s="135" t="n"/>
      <c r="K84" s="134" t="n"/>
      <c r="L84" s="134" t="n">
        <v>1</v>
      </c>
    </row>
    <row r="85" ht="20" customHeight="1">
      <c r="A85" s="134" t="inlineStr">
        <is>
          <t>5.8</t>
        </is>
      </c>
      <c r="B85" s="134" t="inlineStr">
        <is>
          <t>문서화</t>
        </is>
      </c>
      <c r="C85" s="135" t="inlineStr">
        <is>
          <t>프로그램 설계서 (탐지 · 압축 · 폐루프 로직)</t>
        </is>
      </c>
      <c r="D85" s="134" t="inlineStr">
        <is>
          <t>-</t>
        </is>
      </c>
      <c r="E85" s="134" t="inlineStr">
        <is>
          <t>한성민</t>
        </is>
      </c>
      <c r="F85" s="134" t="inlineStr">
        <is>
          <t>미착수</t>
        </is>
      </c>
      <c r="G85" s="171" t="n">
        <v>46306</v>
      </c>
      <c r="H85" s="171" t="n">
        <v>46311</v>
      </c>
      <c r="I85" s="134">
        <f>IF(AND(G85&lt;&gt;"",H85&lt;&gt;""),H85-G85+1,"")</f>
        <v/>
      </c>
      <c r="J85" s="135" t="n"/>
      <c r="K85" s="134" t="n"/>
      <c r="L85" s="134" t="n">
        <v>1</v>
      </c>
    </row>
    <row r="86" ht="20" customHeight="1">
      <c r="A86" s="134" t="inlineStr">
        <is>
          <t>5.9</t>
        </is>
      </c>
      <c r="B86" s="134" t="inlineStr">
        <is>
          <t>문서화</t>
        </is>
      </c>
      <c r="C86" s="135" t="inlineStr">
        <is>
          <t>아키텍처 결정 기록 (ADR)</t>
        </is>
      </c>
      <c r="D86" s="134" t="inlineStr">
        <is>
          <t>-</t>
        </is>
      </c>
      <c r="E86" s="134" t="inlineStr">
        <is>
          <t>한성민</t>
        </is>
      </c>
      <c r="F86" s="134" t="inlineStr">
        <is>
          <t>진행중</t>
        </is>
      </c>
      <c r="G86" s="171" t="n">
        <v>46267</v>
      </c>
      <c r="H86" s="171" t="n">
        <v>46311</v>
      </c>
      <c r="I86" s="134">
        <f>IF(AND(G86&lt;&gt;"",H86&lt;&gt;""),H86-G86+1,"")</f>
        <v/>
      </c>
      <c r="J86" s="135" t="n"/>
      <c r="K86" s="134" t="n"/>
      <c r="L86" s="134" t="n">
        <v>1</v>
      </c>
    </row>
    <row r="87" ht="20" customHeight="1">
      <c r="A87" s="134" t="inlineStr">
        <is>
          <t>5.10</t>
        </is>
      </c>
      <c r="B87" s="134" t="inlineStr">
        <is>
          <t>문서화</t>
        </is>
      </c>
      <c r="C87" s="135" t="inlineStr">
        <is>
          <t>소스코드 (주요 모듈 정리)</t>
        </is>
      </c>
      <c r="D87" s="134" t="inlineStr">
        <is>
          <t>-</t>
        </is>
      </c>
      <c r="E87" s="134" t="inlineStr">
        <is>
          <t>한성민</t>
        </is>
      </c>
      <c r="F87" s="134" t="inlineStr">
        <is>
          <t>진행중</t>
        </is>
      </c>
      <c r="G87" s="171" t="n">
        <v>46274</v>
      </c>
      <c r="H87" s="171" t="n">
        <v>46311</v>
      </c>
      <c r="I87" s="134">
        <f>IF(AND(G87&lt;&gt;"",H87&lt;&gt;""),H87-G87+1,"")</f>
        <v/>
      </c>
      <c r="J87" s="135" t="n"/>
      <c r="K87" s="134" t="n"/>
      <c r="L87" s="134" t="n">
        <v>1</v>
      </c>
    </row>
    <row r="88" ht="20" customHeight="1">
      <c r="A88" s="134" t="inlineStr">
        <is>
          <t>5.11</t>
        </is>
      </c>
      <c r="B88" s="134" t="inlineStr">
        <is>
          <t>문서화</t>
        </is>
      </c>
      <c r="C88" s="135" t="inlineStr">
        <is>
          <t>운영 런북 (장애 유형별 대응 절차)</t>
        </is>
      </c>
      <c r="D88" s="134" t="inlineStr">
        <is>
          <t>-</t>
        </is>
      </c>
      <c r="E88" s="134" t="inlineStr">
        <is>
          <t>한성민</t>
        </is>
      </c>
      <c r="F88" s="134" t="inlineStr">
        <is>
          <t>미착수</t>
        </is>
      </c>
      <c r="G88" s="171" t="n">
        <v>46306</v>
      </c>
      <c r="H88" s="171" t="n">
        <v>46311</v>
      </c>
      <c r="I88" s="134">
        <f>IF(AND(G88&lt;&gt;"",H88&lt;&gt;""),H88-G88+1,"")</f>
        <v/>
      </c>
      <c r="J88" s="135" t="n"/>
      <c r="K88" s="134" t="n"/>
      <c r="L88" s="134" t="n">
        <v>1</v>
      </c>
    </row>
    <row r="89" ht="20" customHeight="1">
      <c r="A89" s="134" t="inlineStr">
        <is>
          <t>5.12</t>
        </is>
      </c>
      <c r="B89" s="134" t="inlineStr">
        <is>
          <t>문서화</t>
        </is>
      </c>
      <c r="C89" s="135" t="inlineStr">
        <is>
          <t>사용자 매뉴얼 (관제 담당자용)</t>
        </is>
      </c>
      <c r="D89" s="134" t="inlineStr">
        <is>
          <t>-</t>
        </is>
      </c>
      <c r="E89" s="134" t="inlineStr">
        <is>
          <t>한성민</t>
        </is>
      </c>
      <c r="F89" s="134" t="inlineStr">
        <is>
          <t>미착수</t>
        </is>
      </c>
      <c r="G89" s="171" t="n">
        <v>46301</v>
      </c>
      <c r="H89" s="171" t="n">
        <v>46311</v>
      </c>
      <c r="I89" s="134">
        <f>IF(AND(G89&lt;&gt;"",H89&lt;&gt;""),H89-G89+1,"")</f>
        <v/>
      </c>
      <c r="J89" s="135" t="n"/>
      <c r="K89" s="134" t="n"/>
      <c r="L89" s="134" t="n">
        <v>1</v>
      </c>
    </row>
    <row r="90" ht="20" customHeight="1">
      <c r="A90" s="134" t="inlineStr">
        <is>
          <t>5.13</t>
        </is>
      </c>
      <c r="B90" s="134" t="inlineStr">
        <is>
          <t>문서화</t>
        </is>
      </c>
      <c r="C90" s="135" t="inlineStr">
        <is>
          <t>테스트 결과서 (단위 · 통합 · 장애주입 · 복원)</t>
        </is>
      </c>
      <c r="D90" s="134" t="inlineStr">
        <is>
          <t>-</t>
        </is>
      </c>
      <c r="E90" s="134" t="inlineStr">
        <is>
          <t>한성민</t>
        </is>
      </c>
      <c r="F90" s="134" t="inlineStr">
        <is>
          <t>미착수</t>
        </is>
      </c>
      <c r="G90" s="171" t="n">
        <v>46287</v>
      </c>
      <c r="H90" s="171" t="n">
        <v>46311</v>
      </c>
      <c r="I90" s="134">
        <f>IF(AND(G90&lt;&gt;"",H90&lt;&gt;""),H90-G90+1,"")</f>
        <v/>
      </c>
      <c r="J90" s="135" t="n"/>
      <c r="K90" s="134" t="n"/>
      <c r="L90" s="134" t="n">
        <v>1</v>
      </c>
    </row>
    <row r="91" ht="20" customHeight="1">
      <c r="A91" s="134" t="inlineStr">
        <is>
          <t>5.14</t>
        </is>
      </c>
      <c r="B91" s="134" t="inlineStr">
        <is>
          <t>문서화</t>
        </is>
      </c>
      <c r="C91" s="135" t="inlineStr">
        <is>
          <t>폐루프 회차 기록 · 리플레이 결과표</t>
        </is>
      </c>
      <c r="D91" s="134" t="inlineStr">
        <is>
          <t>-</t>
        </is>
      </c>
      <c r="E91" s="134" t="inlineStr">
        <is>
          <t>한성민</t>
        </is>
      </c>
      <c r="F91" s="134" t="inlineStr">
        <is>
          <t>진행중</t>
        </is>
      </c>
      <c r="G91" s="171" t="n">
        <v>46273</v>
      </c>
      <c r="H91" s="171" t="n">
        <v>46311</v>
      </c>
      <c r="I91" s="134">
        <f>IF(AND(G91&lt;&gt;"",H91&lt;&gt;""),H91-G91+1,"")</f>
        <v/>
      </c>
      <c r="J91" s="135" t="n"/>
      <c r="K91" s="134" t="n"/>
      <c r="L91" s="134" t="n">
        <v>1</v>
      </c>
    </row>
    <row r="92" ht="20" customHeight="1">
      <c r="A92" s="134" t="inlineStr">
        <is>
          <t>5.15</t>
        </is>
      </c>
      <c r="B92" s="134" t="inlineStr">
        <is>
          <t>문서화</t>
        </is>
      </c>
      <c r="C92" s="135" t="inlineStr">
        <is>
          <t>허니팟 · 디코이 관측 결과 보고</t>
        </is>
      </c>
      <c r="D92" s="134" t="inlineStr">
        <is>
          <t>-</t>
        </is>
      </c>
      <c r="E92" s="134" t="inlineStr">
        <is>
          <t>한성민</t>
        </is>
      </c>
      <c r="F92" s="134" t="inlineStr">
        <is>
          <t>진행중</t>
        </is>
      </c>
      <c r="G92" s="171" t="n">
        <v>46281</v>
      </c>
      <c r="H92" s="171" t="n">
        <v>46311</v>
      </c>
      <c r="I92" s="134">
        <f>IF(AND(G92&lt;&gt;"",H92&lt;&gt;""),H92-G92+1,"")</f>
        <v/>
      </c>
      <c r="J92" s="135" t="n"/>
      <c r="K92" s="134" t="n"/>
      <c r="L92" s="134" t="n">
        <v>1</v>
      </c>
    </row>
    <row r="93" ht="20" customHeight="1">
      <c r="A93" s="134" t="inlineStr">
        <is>
          <t>5.16</t>
        </is>
      </c>
      <c r="B93" s="134" t="inlineStr">
        <is>
          <t>문서화</t>
        </is>
      </c>
      <c r="C93" s="135" t="inlineStr">
        <is>
          <t>종료보고서</t>
        </is>
      </c>
      <c r="D93" s="134" t="inlineStr">
        <is>
          <t>-</t>
        </is>
      </c>
      <c r="E93" s="134" t="inlineStr">
        <is>
          <t>한성민</t>
        </is>
      </c>
      <c r="F93" s="134" t="inlineStr">
        <is>
          <t>미착수</t>
        </is>
      </c>
      <c r="G93" s="171" t="n">
        <v>46308</v>
      </c>
      <c r="H93" s="171" t="n">
        <v>46311</v>
      </c>
      <c r="I93" s="134">
        <f>IF(AND(G93&lt;&gt;"",H93&lt;&gt;""),H93-G93+1,"")</f>
        <v/>
      </c>
      <c r="J93" s="135" t="n"/>
      <c r="K93" s="134" t="n"/>
      <c r="L93" s="134" t="n">
        <v>1</v>
      </c>
    </row>
    <row r="94" ht="22" customHeight="1">
      <c r="A94" s="103" t="inlineStr">
        <is>
          <t>6.0</t>
        </is>
      </c>
      <c r="B94" s="103" t="inlineStr">
        <is>
          <t>발표</t>
        </is>
      </c>
      <c r="C94" s="130" t="inlineStr">
        <is>
          <t>[발표 단계]</t>
        </is>
      </c>
      <c r="D94" s="103" t="n"/>
      <c r="E94" s="103" t="n"/>
      <c r="F94" s="131" t="n"/>
      <c r="G94" s="170" t="n"/>
      <c r="H94" s="170" t="n"/>
      <c r="I94" s="103" t="n"/>
      <c r="J94" s="133" t="n"/>
      <c r="K94" s="103" t="n"/>
      <c r="L94" s="103" t="n">
        <v>0</v>
      </c>
    </row>
    <row r="95" ht="20" customHeight="1">
      <c r="A95" s="134" t="inlineStr">
        <is>
          <t>6.1</t>
        </is>
      </c>
      <c r="B95" s="134" t="inlineStr">
        <is>
          <t>발표</t>
        </is>
      </c>
      <c r="C95" s="135" t="inlineStr">
        <is>
          <t>발표자료(PPT) 작성</t>
        </is>
      </c>
      <c r="D95" s="134" t="inlineStr">
        <is>
          <t>-</t>
        </is>
      </c>
      <c r="E95" s="134" t="inlineStr">
        <is>
          <t>한성민</t>
        </is>
      </c>
      <c r="F95" s="134" t="inlineStr">
        <is>
          <t>미착수</t>
        </is>
      </c>
      <c r="G95" s="171" t="n">
        <v>46308</v>
      </c>
      <c r="H95" s="171" t="n">
        <v>46310</v>
      </c>
      <c r="I95" s="134">
        <f>IF(AND(G95&lt;&gt;"",H95&lt;&gt;""),H95-G95+1,"")</f>
        <v/>
      </c>
      <c r="J95" s="135" t="inlineStr">
        <is>
          <t>발표자료</t>
        </is>
      </c>
      <c r="K95" s="137" t="inlineStr">
        <is>
          <t>★</t>
        </is>
      </c>
      <c r="L95" s="134" t="n">
        <v>1</v>
      </c>
    </row>
    <row r="96" ht="20" customHeight="1">
      <c r="A96" s="134" t="inlineStr">
        <is>
          <t>6.2</t>
        </is>
      </c>
      <c r="B96" s="134" t="inlineStr">
        <is>
          <t>발표</t>
        </is>
      </c>
      <c r="C96" s="135" t="inlineStr">
        <is>
          <t>산출물 최종 취합 및 제출</t>
        </is>
      </c>
      <c r="D96" s="134" t="inlineStr">
        <is>
          <t>-</t>
        </is>
      </c>
      <c r="E96" s="134" t="inlineStr">
        <is>
          <t>한성민</t>
        </is>
      </c>
      <c r="F96" s="134" t="inlineStr">
        <is>
          <t>미착수</t>
        </is>
      </c>
      <c r="G96" s="171" t="n">
        <v>46309</v>
      </c>
      <c r="H96" s="171" t="n">
        <v>46311</v>
      </c>
      <c r="I96" s="134">
        <f>IF(AND(G96&lt;&gt;"",H96&lt;&gt;""),H96-G96+1,"")</f>
        <v/>
      </c>
      <c r="J96" s="135" t="inlineStr">
        <is>
          <t>전체 산출물</t>
        </is>
      </c>
      <c r="K96" s="137" t="inlineStr">
        <is>
          <t>★</t>
        </is>
      </c>
      <c r="L96" s="134" t="n">
        <v>1</v>
      </c>
    </row>
    <row r="97" ht="20" customHeight="1">
      <c r="A97" s="134" t="inlineStr">
        <is>
          <t>6.3</t>
        </is>
      </c>
      <c r="B97" s="134" t="inlineStr">
        <is>
          <t>발표</t>
        </is>
      </c>
      <c r="C97" s="135" t="inlineStr">
        <is>
          <t>최종 발표 및 시연</t>
        </is>
      </c>
      <c r="D97" s="134" t="inlineStr">
        <is>
          <t>-</t>
        </is>
      </c>
      <c r="E97" s="134" t="inlineStr">
        <is>
          <t>한성민</t>
        </is>
      </c>
      <c r="F97" s="134" t="inlineStr">
        <is>
          <t>미착수</t>
        </is>
      </c>
      <c r="G97" s="171" t="n">
        <v>46311</v>
      </c>
      <c r="H97" s="171" t="n">
        <v>46311</v>
      </c>
      <c r="I97" s="134">
        <f>IF(AND(G97&lt;&gt;"",H97&lt;&gt;""),H97-G97+1,"")</f>
        <v/>
      </c>
      <c r="J97" s="135" t="inlineStr">
        <is>
          <t>발표</t>
        </is>
      </c>
      <c r="K97" s="137" t="inlineStr">
        <is>
          <t>★</t>
        </is>
      </c>
      <c r="L97" s="134" t="n">
        <v>1</v>
      </c>
    </row>
    <row r="98" ht="18" customHeight="1">
      <c r="A98" s="141" t="n"/>
      <c r="B98" s="142" t="n"/>
      <c r="C98" s="143" t="n"/>
      <c r="D98" s="142" t="n"/>
      <c r="E98" s="142" t="n"/>
      <c r="F98" s="142" t="n"/>
      <c r="G98" s="144" t="n"/>
      <c r="H98" s="144" t="n"/>
      <c r="I98" s="142" t="n"/>
      <c r="J98" s="142" t="n"/>
      <c r="K98" s="142" t="n"/>
      <c r="L98" s="142" t="n"/>
    </row>
    <row r="99" ht="18" customHeight="1">
      <c r="A99" s="141" t="n"/>
      <c r="B99" s="142" t="n"/>
      <c r="C99" s="143" t="n"/>
      <c r="D99" s="142" t="n"/>
      <c r="E99" s="142" t="n"/>
      <c r="F99" s="142" t="n"/>
      <c r="G99" s="144" t="n"/>
      <c r="H99" s="144" t="n"/>
      <c r="I99" s="142" t="n"/>
      <c r="J99" s="142" t="n"/>
      <c r="K99" s="142" t="n"/>
      <c r="L99" s="142" t="n"/>
    </row>
    <row r="100" ht="18" customHeight="1">
      <c r="A100" s="141" t="n"/>
      <c r="B100" s="142" t="n"/>
      <c r="C100" s="143" t="n"/>
      <c r="D100" s="142" t="n"/>
      <c r="E100" s="142" t="n"/>
      <c r="F100" s="142" t="n"/>
      <c r="G100" s="144" t="n"/>
      <c r="H100" s="144" t="n"/>
      <c r="I100" s="142" t="n"/>
      <c r="J100" s="142" t="n"/>
      <c r="K100" s="142" t="n"/>
      <c r="L100" s="142" t="n"/>
    </row>
    <row r="101" ht="18" customHeight="1">
      <c r="A101" s="141" t="n"/>
      <c r="B101" s="142" t="n"/>
      <c r="C101" s="143" t="n"/>
      <c r="D101" s="142" t="n"/>
      <c r="E101" s="142" t="n"/>
      <c r="F101" s="142" t="n"/>
      <c r="G101" s="144" t="n"/>
      <c r="H101" s="144" t="n"/>
      <c r="I101" s="142" t="n"/>
      <c r="J101" s="142" t="n"/>
      <c r="K101" s="142" t="n"/>
      <c r="L101" s="142" t="n"/>
    </row>
    <row r="102" ht="18" customHeight="1">
      <c r="A102" s="141" t="n"/>
      <c r="B102" s="142" t="n"/>
      <c r="C102" s="143" t="n"/>
      <c r="D102" s="142" t="n"/>
      <c r="E102" s="142" t="n"/>
      <c r="F102" s="142" t="n"/>
      <c r="G102" s="144" t="n"/>
      <c r="H102" s="144" t="n"/>
      <c r="I102" s="142" t="n"/>
      <c r="J102" s="142" t="n"/>
      <c r="K102" s="142" t="n"/>
      <c r="L102" s="142" t="n"/>
    </row>
    <row r="103" ht="18" customHeight="1">
      <c r="A103" s="141" t="n"/>
      <c r="B103" s="142" t="n"/>
      <c r="C103" s="143" t="n"/>
      <c r="D103" s="142" t="n"/>
      <c r="E103" s="142" t="n"/>
      <c r="F103" s="142" t="n"/>
      <c r="G103" s="144" t="n"/>
      <c r="H103" s="144" t="n"/>
      <c r="I103" s="142" t="n"/>
      <c r="J103" s="142" t="n"/>
      <c r="K103" s="142" t="n"/>
      <c r="L103" s="142" t="n"/>
    </row>
    <row r="104" ht="18" customHeight="1">
      <c r="A104" s="141" t="n"/>
      <c r="B104" s="142" t="n"/>
      <c r="C104" s="143" t="n"/>
      <c r="D104" s="142" t="n"/>
      <c r="E104" s="142" t="n"/>
      <c r="F104" s="142" t="n"/>
      <c r="G104" s="144" t="n"/>
      <c r="H104" s="144" t="n"/>
      <c r="I104" s="142" t="n"/>
      <c r="J104" s="142" t="n"/>
      <c r="K104" s="142" t="n"/>
      <c r="L104" s="142" t="n"/>
    </row>
    <row r="105" ht="18" customHeight="1">
      <c r="A105" s="141" t="n"/>
      <c r="B105" s="142" t="n"/>
      <c r="C105" s="143" t="n"/>
      <c r="D105" s="142" t="n"/>
      <c r="E105" s="142" t="n"/>
      <c r="F105" s="142" t="n"/>
      <c r="G105" s="144" t="n"/>
      <c r="H105" s="144" t="n"/>
      <c r="I105" s="142" t="n"/>
      <c r="J105" s="142" t="n"/>
      <c r="K105" s="142" t="n"/>
      <c r="L105" s="142" t="n"/>
    </row>
    <row r="106" ht="18" customHeight="1">
      <c r="A106" s="141" t="n"/>
      <c r="B106" s="142" t="n"/>
      <c r="C106" s="143" t="n"/>
      <c r="D106" s="142" t="n"/>
      <c r="E106" s="142" t="n"/>
      <c r="F106" s="142" t="n"/>
      <c r="G106" s="144" t="n"/>
      <c r="H106" s="144" t="n"/>
      <c r="I106" s="142" t="n"/>
      <c r="J106" s="142" t="n"/>
      <c r="K106" s="142" t="n"/>
      <c r="L106" s="142" t="n"/>
    </row>
    <row r="107">
      <c r="A107" s="107" t="n"/>
      <c r="B107" s="107" t="n"/>
      <c r="C107" s="107" t="n"/>
      <c r="D107" s="107" t="n"/>
      <c r="E107" s="107" t="n"/>
      <c r="F107" s="107" t="n"/>
      <c r="G107" s="107" t="n"/>
      <c r="H107" s="107" t="n"/>
      <c r="I107" s="107" t="n"/>
      <c r="J107" s="107" t="n"/>
      <c r="K107" s="107" t="n"/>
      <c r="L107" s="107" t="n"/>
    </row>
    <row r="108">
      <c r="A108" s="107" t="inlineStr">
        <is>
          <t>영역  A=인프라·배포   B=수집·탐지   C=관제 콘솔   D=분석·운영   -=공통 / 문서</t>
        </is>
      </c>
      <c r="B108" s="107" t="n"/>
      <c r="C108" s="107" t="n"/>
      <c r="D108" s="107" t="n"/>
      <c r="E108" s="107" t="n"/>
      <c r="F108" s="107" t="n"/>
      <c r="G108" s="107" t="n"/>
      <c r="H108" s="107" t="n"/>
      <c r="I108" s="107" t="n"/>
      <c r="J108" s="107" t="n"/>
      <c r="K108" s="107" t="n"/>
      <c r="L108" s="107" t="n"/>
    </row>
    <row r="109">
      <c r="A109" s="107" t="inlineStr">
        <is>
          <t>▸ 표시 = 세부 작업 (레벨 2)      ★ = 임계경로 (지연 시 전체 일정에 영향)</t>
        </is>
      </c>
      <c r="B109" s="107" t="n"/>
      <c r="C109" s="107" t="n"/>
      <c r="D109" s="107" t="n"/>
      <c r="E109" s="107" t="n"/>
      <c r="F109" s="107" t="n"/>
      <c r="G109" s="107" t="n"/>
      <c r="H109" s="107" t="n"/>
      <c r="I109" s="107" t="n"/>
      <c r="J109" s="107" t="n"/>
      <c r="K109" s="107" t="n"/>
      <c r="L109" s="107" t="n"/>
    </row>
    <row r="110">
      <c r="A110" s="107" t="inlineStr">
        <is>
          <t>상태를 바꾸면 대시보드 · 간트차트 · 산출물 체크리스트가 자동으로 갱신됩니다.</t>
        </is>
      </c>
      <c r="B110" s="107" t="n"/>
      <c r="C110" s="107" t="n"/>
      <c r="D110" s="107" t="n"/>
      <c r="E110" s="107" t="n"/>
      <c r="F110" s="107" t="n"/>
      <c r="G110" s="107" t="n"/>
      <c r="H110" s="107" t="n"/>
      <c r="I110" s="107" t="n"/>
      <c r="J110" s="107" t="n"/>
      <c r="K110" s="107" t="n"/>
      <c r="L110" s="107" t="n"/>
    </row>
  </sheetData>
  <autoFilter ref="A4:L106"/>
  <mergeCells count="2">
    <mergeCell ref="A2:L2"/>
    <mergeCell ref="A1:L1"/>
  </mergeCells>
  <conditionalFormatting sqref="F5:F106">
    <cfRule type="expression" priority="1" dxfId="21">
      <formula>$F5="완료"</formula>
    </cfRule>
    <cfRule type="expression" priority="2" dxfId="22">
      <formula>$F5="진행중"</formula>
    </cfRule>
    <cfRule type="expression" priority="3" dxfId="23">
      <formula>$F5="미착수"</formula>
    </cfRule>
    <cfRule type="expression" priority="4" dxfId="24">
      <formula>$F5="지연"</formula>
    </cfRule>
  </conditionalFormatting>
  <conditionalFormatting sqref="D5:D106">
    <cfRule type="cellIs" priority="5" operator="equal" dxfId="25">
      <formula>"A"</formula>
    </cfRule>
    <cfRule type="cellIs" priority="6" operator="equal" dxfId="26">
      <formula>"B"</formula>
    </cfRule>
    <cfRule type="cellIs" priority="7" operator="equal" dxfId="27">
      <formula>"C"</formula>
    </cfRule>
    <cfRule type="cellIs" priority="8" operator="equal" dxfId="28">
      <formula>"D"</formula>
    </cfRule>
    <cfRule type="cellIs" priority="9" operator="equal" dxfId="29">
      <formula>"-"</formula>
    </cfRule>
  </conditionalFormatting>
  <conditionalFormatting sqref="H5:H106">
    <cfRule type="expression" priority="10" dxfId="13">
      <formula>AND($L5&gt;0,$H5&lt;&gt;"",$H5&lt;TODAY(),$F5&lt;&gt;"완료")</formula>
    </cfRule>
  </conditionalFormatting>
  <dataValidations count="2">
    <dataValidation sqref="F5:F106" showDropDown="0" showInputMessage="0" showErrorMessage="1" allowBlank="1" errorTitle="상태" error="대시보드 기준 목록의 값만 쓸 수 있습니다" type="list">
      <formula1>='대시보드'!$J$7:$J$10</formula1>
    </dataValidation>
    <dataValidation sqref="D5:D106" showDropDown="0" showInputMessage="0" showErrorMessage="1" allowBlank="1" errorTitle="영역" error="대시보드 기준 목록의 값만 쓸 수 있습니다" type="list">
      <formula1>='대시보드'!$L$7:$L$11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164B2"/>
    <outlinePr summaryBelow="1" summaryRight="1"/>
    <pageSetUpPr/>
  </sheetPr>
  <dimension ref="A1:H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1" customWidth="1" min="3" max="3"/>
    <col width="8" customWidth="1" min="4" max="4"/>
    <col width="13" customWidth="1" min="5" max="5"/>
    <col width="13" customWidth="1" min="6" max="6"/>
    <col width="11" customWidth="1" min="7" max="7"/>
    <col width="10" customWidth="1" min="8" max="8"/>
  </cols>
  <sheetData>
    <row r="1" ht="32" customHeight="1">
      <c r="A1" s="108" t="inlineStr">
        <is>
          <t>산출물 체크리스트 — OpsLoop (최종 제출 2026.10.16)</t>
        </is>
      </c>
    </row>
    <row r="2" ht="20" customHeight="1">
      <c r="A2" s="85" t="inlineStr">
        <is>
          <t>※ WBS 시트의 작업명 · 담당 · 날짜 · 상태와 실시간 연동됩니다. 상태는 WBS에서 변경하세요.</t>
        </is>
      </c>
    </row>
    <row r="3" ht="8" customHeight="1"/>
    <row r="4" ht="24" customHeight="1">
      <c r="A4" s="89" t="inlineStr">
        <is>
          <t>No</t>
        </is>
      </c>
      <c r="B4" s="89" t="inlineStr">
        <is>
          <t>산출물</t>
        </is>
      </c>
      <c r="C4" s="89" t="inlineStr">
        <is>
          <t>관련 WBS</t>
        </is>
      </c>
      <c r="D4" s="89" t="inlineStr">
        <is>
          <t>영역</t>
        </is>
      </c>
      <c r="E4" s="89" t="inlineStr">
        <is>
          <t>작성 시작</t>
        </is>
      </c>
      <c r="F4" s="89" t="inlineStr">
        <is>
          <t>완료 목표</t>
        </is>
      </c>
      <c r="G4" s="89" t="inlineStr">
        <is>
          <t>제출 형식</t>
        </is>
      </c>
      <c r="H4" s="89" t="inlineStr">
        <is>
          <t>상태</t>
        </is>
      </c>
    </row>
    <row r="5" ht="20" customHeight="1">
      <c r="A5" s="138" t="n">
        <v>1</v>
      </c>
      <c r="B5" s="135">
        <f>WBS!C78</f>
        <v/>
      </c>
      <c r="C5" s="138" t="inlineStr">
        <is>
          <t>5.1</t>
        </is>
      </c>
      <c r="D5" s="138">
        <f>WBS!D78</f>
        <v/>
      </c>
      <c r="E5" s="172">
        <f>WBS!G78</f>
        <v/>
      </c>
      <c r="F5" s="172">
        <f>WBS!H78</f>
        <v/>
      </c>
      <c r="G5" s="138" t="inlineStr">
        <is>
          <t>xlsx</t>
        </is>
      </c>
      <c r="H5" s="138">
        <f>WBS!F78</f>
        <v/>
      </c>
    </row>
    <row r="6" ht="20" customHeight="1">
      <c r="A6" s="145" t="n">
        <v>2</v>
      </c>
      <c r="B6" s="146">
        <f>WBS!C79</f>
        <v/>
      </c>
      <c r="C6" s="145" t="inlineStr">
        <is>
          <t>5.2</t>
        </is>
      </c>
      <c r="D6" s="145">
        <f>WBS!D79</f>
        <v/>
      </c>
      <c r="E6" s="173">
        <f>WBS!G79</f>
        <v/>
      </c>
      <c r="F6" s="173">
        <f>WBS!H79</f>
        <v/>
      </c>
      <c r="G6" s="145" t="inlineStr">
        <is>
          <t>pdf</t>
        </is>
      </c>
      <c r="H6" s="145">
        <f>WBS!F79</f>
        <v/>
      </c>
    </row>
    <row r="7" ht="20" customHeight="1">
      <c r="A7" s="138" t="n">
        <v>3</v>
      </c>
      <c r="B7" s="135">
        <f>WBS!C80</f>
        <v/>
      </c>
      <c r="C7" s="138" t="inlineStr">
        <is>
          <t>5.3</t>
        </is>
      </c>
      <c r="D7" s="138">
        <f>WBS!D80</f>
        <v/>
      </c>
      <c r="E7" s="172">
        <f>WBS!G80</f>
        <v/>
      </c>
      <c r="F7" s="172">
        <f>WBS!H80</f>
        <v/>
      </c>
      <c r="G7" s="138" t="inlineStr">
        <is>
          <t>pdf</t>
        </is>
      </c>
      <c r="H7" s="138">
        <f>WBS!F80</f>
        <v/>
      </c>
    </row>
    <row r="8" ht="20" customHeight="1">
      <c r="A8" s="145" t="n">
        <v>4</v>
      </c>
      <c r="B8" s="146">
        <f>WBS!C81</f>
        <v/>
      </c>
      <c r="C8" s="145" t="inlineStr">
        <is>
          <t>5.4</t>
        </is>
      </c>
      <c r="D8" s="145">
        <f>WBS!D81</f>
        <v/>
      </c>
      <c r="E8" s="173">
        <f>WBS!G81</f>
        <v/>
      </c>
      <c r="F8" s="173">
        <f>WBS!H81</f>
        <v/>
      </c>
      <c r="G8" s="145" t="inlineStr">
        <is>
          <t>pdf</t>
        </is>
      </c>
      <c r="H8" s="145">
        <f>WBS!F81</f>
        <v/>
      </c>
    </row>
    <row r="9" ht="20" customHeight="1">
      <c r="A9" s="138" t="n">
        <v>5</v>
      </c>
      <c r="B9" s="135">
        <f>WBS!C82</f>
        <v/>
      </c>
      <c r="C9" s="138" t="inlineStr">
        <is>
          <t>5.5</t>
        </is>
      </c>
      <c r="D9" s="138">
        <f>WBS!D82</f>
        <v/>
      </c>
      <c r="E9" s="172">
        <f>WBS!G82</f>
        <v/>
      </c>
      <c r="F9" s="172">
        <f>WBS!H82</f>
        <v/>
      </c>
      <c r="G9" s="138" t="inlineStr">
        <is>
          <t>pdf</t>
        </is>
      </c>
      <c r="H9" s="138">
        <f>WBS!F82</f>
        <v/>
      </c>
    </row>
    <row r="10" ht="20" customHeight="1">
      <c r="A10" s="145" t="n">
        <v>6</v>
      </c>
      <c r="B10" s="146">
        <f>WBS!C83</f>
        <v/>
      </c>
      <c r="C10" s="145" t="inlineStr">
        <is>
          <t>5.6</t>
        </is>
      </c>
      <c r="D10" s="145">
        <f>WBS!D83</f>
        <v/>
      </c>
      <c r="E10" s="173">
        <f>WBS!G83</f>
        <v/>
      </c>
      <c r="F10" s="173">
        <f>WBS!H83</f>
        <v/>
      </c>
      <c r="G10" s="145" t="inlineStr">
        <is>
          <t>pdf</t>
        </is>
      </c>
      <c r="H10" s="145">
        <f>WBS!F83</f>
        <v/>
      </c>
    </row>
    <row r="11" ht="20" customHeight="1">
      <c r="A11" s="138" t="n">
        <v>7</v>
      </c>
      <c r="B11" s="135">
        <f>WBS!C84</f>
        <v/>
      </c>
      <c r="C11" s="138" t="inlineStr">
        <is>
          <t>5.7</t>
        </is>
      </c>
      <c r="D11" s="138">
        <f>WBS!D84</f>
        <v/>
      </c>
      <c r="E11" s="172">
        <f>WBS!G84</f>
        <v/>
      </c>
      <c r="F11" s="172">
        <f>WBS!H84</f>
        <v/>
      </c>
      <c r="G11" s="138" t="inlineStr">
        <is>
          <t>pdf</t>
        </is>
      </c>
      <c r="H11" s="138">
        <f>WBS!F84</f>
        <v/>
      </c>
    </row>
    <row r="12" ht="20" customHeight="1">
      <c r="A12" s="145" t="n">
        <v>8</v>
      </c>
      <c r="B12" s="146">
        <f>WBS!C85</f>
        <v/>
      </c>
      <c r="C12" s="145" t="inlineStr">
        <is>
          <t>5.8</t>
        </is>
      </c>
      <c r="D12" s="145">
        <f>WBS!D85</f>
        <v/>
      </c>
      <c r="E12" s="173">
        <f>WBS!G85</f>
        <v/>
      </c>
      <c r="F12" s="173">
        <f>WBS!H85</f>
        <v/>
      </c>
      <c r="G12" s="145" t="inlineStr">
        <is>
          <t>pdf</t>
        </is>
      </c>
      <c r="H12" s="145">
        <f>WBS!F85</f>
        <v/>
      </c>
    </row>
    <row r="13" ht="20" customHeight="1">
      <c r="A13" s="138" t="n">
        <v>9</v>
      </c>
      <c r="B13" s="135">
        <f>WBS!C86</f>
        <v/>
      </c>
      <c r="C13" s="138" t="inlineStr">
        <is>
          <t>5.9</t>
        </is>
      </c>
      <c r="D13" s="138">
        <f>WBS!D86</f>
        <v/>
      </c>
      <c r="E13" s="172">
        <f>WBS!G86</f>
        <v/>
      </c>
      <c r="F13" s="172">
        <f>WBS!H86</f>
        <v/>
      </c>
      <c r="G13" s="138" t="inlineStr">
        <is>
          <t>pdf</t>
        </is>
      </c>
      <c r="H13" s="138">
        <f>WBS!F86</f>
        <v/>
      </c>
    </row>
    <row r="14" ht="20" customHeight="1">
      <c r="A14" s="145" t="n">
        <v>10</v>
      </c>
      <c r="B14" s="146">
        <f>WBS!C87</f>
        <v/>
      </c>
      <c r="C14" s="145" t="inlineStr">
        <is>
          <t>5.10</t>
        </is>
      </c>
      <c r="D14" s="145">
        <f>WBS!D87</f>
        <v/>
      </c>
      <c r="E14" s="173">
        <f>WBS!G87</f>
        <v/>
      </c>
      <c r="F14" s="173">
        <f>WBS!H87</f>
        <v/>
      </c>
      <c r="G14" s="145" t="inlineStr">
        <is>
          <t>pdf</t>
        </is>
      </c>
      <c r="H14" s="145">
        <f>WBS!F87</f>
        <v/>
      </c>
    </row>
    <row r="15" ht="20" customHeight="1">
      <c r="A15" s="138" t="n">
        <v>11</v>
      </c>
      <c r="B15" s="135">
        <f>WBS!C88</f>
        <v/>
      </c>
      <c r="C15" s="138" t="inlineStr">
        <is>
          <t>5.11</t>
        </is>
      </c>
      <c r="D15" s="138">
        <f>WBS!D88</f>
        <v/>
      </c>
      <c r="E15" s="172">
        <f>WBS!G88</f>
        <v/>
      </c>
      <c r="F15" s="172">
        <f>WBS!H88</f>
        <v/>
      </c>
      <c r="G15" s="138" t="inlineStr">
        <is>
          <t>pdf</t>
        </is>
      </c>
      <c r="H15" s="138">
        <f>WBS!F88</f>
        <v/>
      </c>
    </row>
    <row r="16" ht="20" customHeight="1">
      <c r="A16" s="145" t="n">
        <v>12</v>
      </c>
      <c r="B16" s="146">
        <f>WBS!C89</f>
        <v/>
      </c>
      <c r="C16" s="145" t="inlineStr">
        <is>
          <t>5.12</t>
        </is>
      </c>
      <c r="D16" s="145">
        <f>WBS!D89</f>
        <v/>
      </c>
      <c r="E16" s="173">
        <f>WBS!G89</f>
        <v/>
      </c>
      <c r="F16" s="173">
        <f>WBS!H89</f>
        <v/>
      </c>
      <c r="G16" s="145" t="inlineStr">
        <is>
          <t>pdf</t>
        </is>
      </c>
      <c r="H16" s="145">
        <f>WBS!F89</f>
        <v/>
      </c>
    </row>
    <row r="17" ht="20" customHeight="1">
      <c r="A17" s="138" t="n">
        <v>13</v>
      </c>
      <c r="B17" s="135">
        <f>WBS!C90</f>
        <v/>
      </c>
      <c r="C17" s="138" t="inlineStr">
        <is>
          <t>5.13</t>
        </is>
      </c>
      <c r="D17" s="138">
        <f>WBS!D90</f>
        <v/>
      </c>
      <c r="E17" s="172">
        <f>WBS!G90</f>
        <v/>
      </c>
      <c r="F17" s="172">
        <f>WBS!H90</f>
        <v/>
      </c>
      <c r="G17" s="138" t="inlineStr">
        <is>
          <t>pdf</t>
        </is>
      </c>
      <c r="H17" s="138">
        <f>WBS!F90</f>
        <v/>
      </c>
    </row>
    <row r="18" ht="20" customHeight="1">
      <c r="A18" s="145" t="n">
        <v>14</v>
      </c>
      <c r="B18" s="146">
        <f>WBS!C91</f>
        <v/>
      </c>
      <c r="C18" s="145" t="inlineStr">
        <is>
          <t>5.14</t>
        </is>
      </c>
      <c r="D18" s="145">
        <f>WBS!D91</f>
        <v/>
      </c>
      <c r="E18" s="173">
        <f>WBS!G91</f>
        <v/>
      </c>
      <c r="F18" s="173">
        <f>WBS!H91</f>
        <v/>
      </c>
      <c r="G18" s="145" t="inlineStr">
        <is>
          <t>pdf</t>
        </is>
      </c>
      <c r="H18" s="145">
        <f>WBS!F91</f>
        <v/>
      </c>
    </row>
    <row r="19" ht="20" customHeight="1">
      <c r="A19" s="138" t="n">
        <v>15</v>
      </c>
      <c r="B19" s="135">
        <f>WBS!C92</f>
        <v/>
      </c>
      <c r="C19" s="138" t="inlineStr">
        <is>
          <t>5.15</t>
        </is>
      </c>
      <c r="D19" s="138">
        <f>WBS!D92</f>
        <v/>
      </c>
      <c r="E19" s="172">
        <f>WBS!G92</f>
        <v/>
      </c>
      <c r="F19" s="172">
        <f>WBS!H92</f>
        <v/>
      </c>
      <c r="G19" s="138" t="inlineStr">
        <is>
          <t>pdf</t>
        </is>
      </c>
      <c r="H19" s="138">
        <f>WBS!F92</f>
        <v/>
      </c>
    </row>
    <row r="20" ht="20" customHeight="1">
      <c r="A20" s="145" t="n">
        <v>16</v>
      </c>
      <c r="B20" s="146">
        <f>WBS!C93</f>
        <v/>
      </c>
      <c r="C20" s="145" t="inlineStr">
        <is>
          <t>5.16</t>
        </is>
      </c>
      <c r="D20" s="145">
        <f>WBS!D93</f>
        <v/>
      </c>
      <c r="E20" s="173">
        <f>WBS!G93</f>
        <v/>
      </c>
      <c r="F20" s="173">
        <f>WBS!H93</f>
        <v/>
      </c>
      <c r="G20" s="145" t="inlineStr">
        <is>
          <t>pdf</t>
        </is>
      </c>
      <c r="H20" s="145">
        <f>WBS!F93</f>
        <v/>
      </c>
    </row>
    <row r="21" ht="18" customHeight="1">
      <c r="A21" s="63" t="n"/>
      <c r="B21" s="64" t="n"/>
      <c r="C21" s="63" t="n"/>
      <c r="D21" s="63" t="n"/>
      <c r="E21" s="74" t="n"/>
      <c r="F21" s="74" t="n"/>
      <c r="G21" s="63" t="n"/>
      <c r="H21" s="63" t="n"/>
    </row>
    <row r="22" ht="18" customHeight="1">
      <c r="A22" s="63" t="n"/>
      <c r="B22" s="64" t="n"/>
      <c r="C22" s="63" t="n"/>
      <c r="D22" s="63" t="n"/>
      <c r="E22" s="74" t="n"/>
      <c r="F22" s="74" t="n"/>
      <c r="G22" s="63" t="n"/>
      <c r="H22" s="63" t="n"/>
    </row>
    <row r="24">
      <c r="A24" s="107" t="inlineStr">
        <is>
          <t>총 16종.  제출 형식은 학과 지침에 맞춰 조정하세요.  (v1.0 대비: CI/CD 산출물과 주간 보고서 자동 생성 제외, 네트워크 설계서 신설)</t>
        </is>
      </c>
    </row>
    <row r="25">
      <c r="A25" s="107" t="inlineStr">
        <is>
          <t>코드·설정 파일은 저장소(GitHub)로 제출하고, 소스코드 산출물은 주요 모듈을 PDF로 정리합니다.</t>
        </is>
      </c>
    </row>
  </sheetData>
  <autoFilter ref="A4:H20"/>
  <mergeCells count="2">
    <mergeCell ref="A2:H2"/>
    <mergeCell ref="A1:H1"/>
  </mergeCells>
  <conditionalFormatting sqref="H5:H20">
    <cfRule type="expression" priority="1" dxfId="21">
      <formula>$H5="완료"</formula>
    </cfRule>
    <cfRule type="expression" priority="2" dxfId="22">
      <formula>$H5="진행중"</formula>
    </cfRule>
    <cfRule type="expression" priority="3" dxfId="23">
      <formula>$H5="미착수"</formula>
    </cfRule>
    <cfRule type="expression" priority="4" dxfId="24">
      <formula>$H5="지연"</formula>
    </cfRule>
  </conditionalFormatting>
  <conditionalFormatting sqref="D5:D20">
    <cfRule type="cellIs" priority="5" operator="equal" dxfId="25">
      <formula>"A"</formula>
    </cfRule>
    <cfRule type="cellIs" priority="6" operator="equal" dxfId="26">
      <formula>"B"</formula>
    </cfRule>
    <cfRule type="cellIs" priority="7" operator="equal" dxfId="27">
      <formula>"C"</formula>
    </cfRule>
    <cfRule type="cellIs" priority="8" operator="equal" dxfId="28">
      <formula>"D"</formula>
    </cfRule>
    <cfRule type="cellIs" priority="9" operator="equal" dxfId="29">
      <formula>"-"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2026-09-04T02:40:32Z</dcterms:created>
  <dcterms:modified xsi:type="dcterms:W3CDTF">2026-09-27T11:22:21Z</dcterms:modified>
</cp:coreProperties>
</file>
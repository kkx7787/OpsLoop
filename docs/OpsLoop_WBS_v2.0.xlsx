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간트차트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4"/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0"/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29"/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· 연구소장 피드백 반영 (2026.09.22)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완료</t>
        </is>
      </c>
      <c r="G22" s="171" t="n">
        <v>46288</v>
      </c>
      <c r="H22" s="171" t="n">
        <v>46288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진행중</t>
        </is>
      </c>
      <c r="G24" s="171" t="n">
        <v>46288</v>
      </c>
      <c r="H24" s="171" t="n">
        <v>46294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완료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 · SSM 전용 엔드포인트 · DMZ 유출 전면 차단)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완료</t>
        </is>
      </c>
      <c r="G26" s="172" t="n">
        <v>46287</v>
      </c>
      <c r="H26" s="172" t="n">
        <v>46288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(이미지 전 비밀 검사 · 로그 승계)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완료</t>
        </is>
      </c>
      <c r="G27" s="172" t="n">
        <v>46288</v>
      </c>
      <c r="H27" s="172" t="n">
        <v>46288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노드별 S3 쓰기 경계 · 관문 별도 역할 · DB 역할 최소 권한 (슈퍼유저 제거)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완료</t>
        </is>
      </c>
      <c r="G28" s="172" t="n">
        <v>46288</v>
      </c>
      <c r="H28" s="172" t="n">
        <v>46289</v>
      </c>
      <c r="I28" s="138">
        <f>IF(AND(G28&lt;&gt;"",H28&lt;&gt;""),H28-G28+1,"")</f>
        <v/>
      </c>
      <c r="J28" s="139" t="inlineStr">
        <is>
          <t>인프라 코드 · DB 역할 정의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진행중</t>
        </is>
      </c>
      <c r="G29" s="172" t="n">
        <v>46290</v>
      </c>
      <c r="H29" s="172" t="n">
        <v>46294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완료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완료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완료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완료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완료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VPN (Tailscale · WireGuard 기반)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완료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완료</t>
        </is>
      </c>
      <c r="G40" s="171" t="n">
        <v>46286</v>
      </c>
      <c r="H40" s="171" t="n">
        <v>46288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완료</t>
        </is>
      </c>
      <c r="G41" s="172" t="n">
        <v>46286</v>
      </c>
      <c r="H41" s="172" t="n">
        <v>46288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완료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완료</t>
        </is>
      </c>
      <c r="G43" s="172" t="n">
        <v>46286</v>
      </c>
      <c r="H43" s="172" t="n">
        <v>46288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완료</t>
        </is>
      </c>
      <c r="G44" s="172" t="n">
        <v>46286</v>
      </c>
      <c r="H44" s="172" t="n">
        <v>46288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완료</t>
        </is>
      </c>
      <c r="G45" s="171" t="n">
        <v>46286</v>
      </c>
      <c r="H45" s="171" t="n">
        <v>46294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완료</t>
        </is>
      </c>
      <c r="G46" s="172" t="n">
        <v>46286</v>
      </c>
      <c r="H46" s="172" t="n">
        <v>46287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공개 정보 연계 (자산 표 · KEV/CVE 원본 S3 · 서명 규칙 c1 · 판정 기준 §8 · 사례 2건 · 주목 CVE)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완료</t>
        </is>
      </c>
      <c r="G47" s="172" t="n">
        <v>46290</v>
      </c>
      <c r="H47" s="172" t="n">
        <v>46290</v>
      </c>
      <c r="I47" s="138">
        <f>IF(AND(G47&lt;&gt;"",H47&lt;&gt;""),H47-G47+1,"")</f>
        <v/>
      </c>
      <c r="J47" s="139" t="inlineStr">
        <is>
          <t>규칙 파일 · CVE 표 · 결과 문서</t>
        </is>
      </c>
      <c r="K47" s="138" t="inlineStr">
        <is>
          <t>★</t>
        </is>
      </c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  ▸ Sigma 공개 웹 규칙 변환 PoC (c1 서명 형식 · R107 · 리플레이 비교, Suricata · DNS 방화벽은 제외)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완료</t>
        </is>
      </c>
      <c r="G48" s="172" t="n">
        <v>46293</v>
      </c>
      <c r="H48" s="172" t="n">
        <v>46294</v>
      </c>
      <c r="I48" s="138">
        <f>IF(AND(G48&lt;&gt;"",H48&lt;&gt;""),H48-G48+1,"")</f>
        <v/>
      </c>
      <c r="J48" s="139" t="inlineStr">
        <is>
          <t>PoC 결과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완료</t>
        </is>
      </c>
      <c r="G49" s="172" t="n">
        <v>46286</v>
      </c>
      <c r="H49" s="172" t="n">
        <v>46288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완료</t>
        </is>
      </c>
      <c r="G50" s="171" t="n">
        <v>46287</v>
      </c>
      <c r="H50" s="171" t="n">
        <v>46294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완료</t>
        </is>
      </c>
      <c r="G51" s="172" t="n">
        <v>46287</v>
      </c>
      <c r="H51" s="172" t="n">
        <v>46287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 · 출발지 분석 · 도구 지문 묶음 (S-09)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완료</t>
        </is>
      </c>
      <c r="G52" s="172" t="n">
        <v>46288</v>
      </c>
      <c r="H52" s="172" t="n">
        <v>46294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 · CVE · 자산 해당 · 성공 증거 칸)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완료</t>
        </is>
      </c>
      <c r="G53" s="172" t="n">
        <v>46288</v>
      </c>
      <c r="H53" s="172" t="n">
        <v>46288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노드 상태 S-08 최소 · 판정 목표 시간 (모바일 대응) · 관제 대상 상태판 · CVE 배지 · 등록 노드 카드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완료</t>
        </is>
      </c>
      <c r="G54" s="172" t="n">
        <v>46288</v>
      </c>
      <c r="H54" s="172" t="n">
        <v>46294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완료</t>
        </is>
      </c>
      <c r="G55" s="172" t="n">
        <v>46288</v>
      </c>
      <c r="H55" s="172" t="n">
        <v>46288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완료</t>
        </is>
      </c>
      <c r="G56" s="172" t="n">
        <v>46288</v>
      </c>
      <c r="H56" s="172" t="n">
        <v>46288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완료</t>
        </is>
      </c>
      <c r="G57" s="172" t="n">
        <v>46289</v>
      </c>
      <c r="H57" s="172" t="n">
        <v>46289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  ▸ 감사 기록 조회 (S-14) · 계정 관리 (역할 변경 · 비활성 · 관제사 · 조회자 추가 · 삭제 · 비밀번호, 관리자는 CLI)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완료</t>
        </is>
      </c>
      <c r="G58" s="172" t="n">
        <v>46288</v>
      </c>
      <c r="H58" s="172" t="n">
        <v>46294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표시 (S-10 최소 · S-16 은 골격에 포함)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완료</t>
        </is>
      </c>
      <c r="G59" s="172" t="n">
        <v>46288</v>
      </c>
      <c r="H59" s="172" t="n">
        <v>46288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비신뢰 로그 표시 시험 · CSP 검증 (숨은 문자 표식 · 긴 값 접기 · 콘솔 특정 방지 · 통계 페이지 내부화 · 알림 값 정리) · 기간 보고서 인쇄 (S-11) · 화면 문구 정리 · 잘못된 입력 422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완료</t>
        </is>
      </c>
      <c r="G60" s="172" t="n">
        <v>46290</v>
      </c>
      <c r="H60" s="172" t="n">
        <v>46294</v>
      </c>
      <c r="I60" s="138">
        <f>IF(AND(G60&lt;&gt;"",H60&lt;&gt;""),H60-G60+1,"")</f>
        <v/>
      </c>
      <c r="J60" s="139" t="inlineStr">
        <is>
          <t>시험 코드 · 검증 기록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 · 실험 DB 사본 · 시나리오 16개)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완료</t>
        </is>
      </c>
      <c r="G61" s="171" t="n">
        <v>46293</v>
      </c>
      <c r="H61" s="171" t="n">
        <v>46293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완료</t>
        </is>
      </c>
      <c r="G62" s="171" t="n">
        <v>46289</v>
      </c>
      <c r="H62" s="171" t="n">
        <v>46293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완료</t>
        </is>
      </c>
      <c r="G63" s="172" t="n">
        <v>46289</v>
      </c>
      <c r="H63" s="172" t="n">
        <v>46290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 (w2 · 임계치 후보 3 · 8 · 오탐 ↔ 재현율 결과표)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완료</t>
        </is>
      </c>
      <c r="G64" s="172" t="n">
        <v>46293</v>
      </c>
      <c r="H64" s="172" t="n">
        <v>46293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완료</t>
        </is>
      </c>
      <c r="G65" s="172" t="n">
        <v>46289</v>
      </c>
      <c r="H65" s="172" t="n">
        <v>46290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완료</t>
        </is>
      </c>
      <c r="G66" s="172" t="n">
        <v>46289</v>
      </c>
      <c r="H66" s="172" t="n">
        <v>46290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차단 자동 집행 (관문 fail2ban 연동 · 만료 · 감사 기록 · 인프라 주소 차단 금지 목록) · 내부 방화벽 집행 · 집행 지점별 결과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완료</t>
        </is>
      </c>
      <c r="G67" s="171" t="n">
        <v>46292</v>
      </c>
      <c r="H67" s="171" t="n">
        <v>46293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완료</t>
        </is>
      </c>
      <c r="G68" s="171" t="n">
        <v>46293</v>
      </c>
      <c r="H68" s="171" t="n">
        <v>46293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완료</t>
        </is>
      </c>
      <c r="G69" s="171" t="n">
        <v>46286</v>
      </c>
      <c r="H69" s="171" t="n">
        <v>46287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· 격리 시험 (허니팟 장악 가정 · 9/25 1차 · 10/9 최종)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진행중</t>
        </is>
      </c>
      <c r="G72" s="171" t="n">
        <v>46290</v>
      </c>
      <c r="H72" s="171" t="n">
        <v>46304</v>
      </c>
      <c r="I72" s="134">
        <f>IF(AND(G72&lt;&gt;"",H72&lt;&gt;""),H72-G72+1,"")</f>
        <v/>
      </c>
      <c r="J72" s="135" t="inlineStr">
        <is>
          <t>검증 결과서 · 격리 시험 결과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46305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VM 강제 끔 · 전환 시간 측정 · HAProxy 보강 전후 21회 · 이중화 후속 반영 뒤 재측정)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완료</t>
        </is>
      </c>
      <c r="G74" s="171" t="n">
        <v>46290</v>
      </c>
      <c r="H74" s="171" t="n">
        <v>46294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(새 서버 복원 · 역할 목록 · 무결성 · 원장 재적재 대조 · RTO 5분 53초 · 복원 런북)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완료</t>
        </is>
      </c>
      <c r="G75" s="171" t="n">
        <v>46292</v>
      </c>
      <c r="H75" s="171" t="n">
        <v>46292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46306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46306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46306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3"/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2026-09-04T02:40:32Z</dcterms:created>
  <dcterms:modified xmlns:dcterms="http://purl.org/dc/terms/" xmlns:xsi="http://www.w3.org/2001/XMLSchema-instance" xsi:type="dcterms:W3CDTF">2026-09-29T04:49:42Z</dcterms:modified>
</cp:coreProperties>
</file>